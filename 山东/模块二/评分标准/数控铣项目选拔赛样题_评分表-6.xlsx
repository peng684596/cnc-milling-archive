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4895" windowHeight="7935" activeTab="1"/>
  </bookViews>
  <sheets>
    <sheet name="成绩单" sheetId="4" r:id="rId1"/>
    <sheet name="MOD2-评分表" sheetId="2" r:id="rId2"/>
  </sheets>
  <definedNames>
    <definedName name="_xlnm.Print_Area" localSheetId="1">'MOD2-评分表'!$B$1:$M$98</definedName>
    <definedName name="_xlnm.Print_Area" localSheetId="0">成绩单!$A$1:$L$47</definedName>
  </definedNames>
  <calcPr calcId="125725"/>
</workbook>
</file>

<file path=xl/calcChain.xml><?xml version="1.0" encoding="utf-8"?>
<calcChain xmlns="http://schemas.openxmlformats.org/spreadsheetml/2006/main">
  <c r="C61" i="2"/>
  <c r="I40" i="4"/>
  <c r="E4" i="2"/>
  <c r="I3"/>
  <c r="E3"/>
  <c r="H40" i="4"/>
  <c r="G40"/>
  <c r="L41" i="2"/>
  <c r="L40"/>
  <c r="L39"/>
  <c r="J24"/>
  <c r="I24"/>
  <c r="J9"/>
  <c r="I9"/>
  <c r="J29"/>
  <c r="I29"/>
  <c r="K38" i="4"/>
  <c r="C92" i="2"/>
  <c r="L91"/>
  <c r="L92" s="1"/>
  <c r="H36" i="4" s="1"/>
  <c r="K36" s="1"/>
  <c r="C88" i="2"/>
  <c r="L81"/>
  <c r="L78"/>
  <c r="L77"/>
  <c r="C72"/>
  <c r="J68"/>
  <c r="L68" s="1"/>
  <c r="I68"/>
  <c r="J67"/>
  <c r="L67" s="1"/>
  <c r="I67"/>
  <c r="J66"/>
  <c r="L66" s="1"/>
  <c r="I66"/>
  <c r="J65"/>
  <c r="L65" s="1"/>
  <c r="I65"/>
  <c r="J64"/>
  <c r="L64" s="1"/>
  <c r="I64"/>
  <c r="J59"/>
  <c r="I59"/>
  <c r="J58"/>
  <c r="I58"/>
  <c r="J57"/>
  <c r="I57"/>
  <c r="J56"/>
  <c r="I56"/>
  <c r="J55"/>
  <c r="I55"/>
  <c r="J54"/>
  <c r="I54"/>
  <c r="J53"/>
  <c r="I53"/>
  <c r="J52"/>
  <c r="L52" s="1"/>
  <c r="I52"/>
  <c r="J51"/>
  <c r="I51"/>
  <c r="J50"/>
  <c r="L50" s="1"/>
  <c r="I50"/>
  <c r="J49"/>
  <c r="I49"/>
  <c r="J48"/>
  <c r="L48" s="1"/>
  <c r="I48"/>
  <c r="J47"/>
  <c r="L47" s="1"/>
  <c r="I47"/>
  <c r="J46"/>
  <c r="L46" s="1"/>
  <c r="I46"/>
  <c r="J45"/>
  <c r="L45" s="1"/>
  <c r="I45"/>
  <c r="J44"/>
  <c r="L44" s="1"/>
  <c r="I44"/>
  <c r="J43"/>
  <c r="I43"/>
  <c r="J42"/>
  <c r="L42" s="1"/>
  <c r="L38"/>
  <c r="C35"/>
  <c r="J34"/>
  <c r="I34"/>
  <c r="J33"/>
  <c r="I33"/>
  <c r="J32"/>
  <c r="I32"/>
  <c r="J31"/>
  <c r="I31"/>
  <c r="J30"/>
  <c r="I30"/>
  <c r="J28"/>
  <c r="I28"/>
  <c r="J27"/>
  <c r="I27"/>
  <c r="J26"/>
  <c r="I26"/>
  <c r="J25"/>
  <c r="I25"/>
  <c r="J23"/>
  <c r="I23"/>
  <c r="J22"/>
  <c r="I22"/>
  <c r="J21"/>
  <c r="I21"/>
  <c r="J20"/>
  <c r="I20"/>
  <c r="J19"/>
  <c r="I19"/>
  <c r="J18"/>
  <c r="I18"/>
  <c r="J17"/>
  <c r="I17"/>
  <c r="J16"/>
  <c r="I16"/>
  <c r="J15"/>
  <c r="I15"/>
  <c r="J14"/>
  <c r="I14"/>
  <c r="J13"/>
  <c r="I13"/>
  <c r="J10"/>
  <c r="I10"/>
  <c r="G34" i="4"/>
  <c r="K34" s="1"/>
  <c r="K32"/>
  <c r="K40"/>
  <c r="K26"/>
  <c r="K14"/>
  <c r="K20"/>
  <c r="L76" i="2" l="1"/>
  <c r="L79"/>
  <c r="L80"/>
  <c r="L72"/>
  <c r="H24" i="4" s="1"/>
  <c r="K24" s="1"/>
  <c r="L60" i="2"/>
  <c r="L58"/>
  <c r="L56"/>
  <c r="L54"/>
  <c r="L49"/>
  <c r="L43"/>
  <c r="L59"/>
  <c r="L57"/>
  <c r="L51"/>
  <c r="L53"/>
  <c r="L55"/>
  <c r="G10" i="4"/>
  <c r="G22"/>
  <c r="K22" s="1"/>
  <c r="G28"/>
  <c r="K28" s="1"/>
  <c r="G16"/>
  <c r="K16" s="1"/>
  <c r="L88" i="2" l="1"/>
  <c r="H30" i="4" s="1"/>
  <c r="K30" s="1"/>
  <c r="L61" i="2"/>
  <c r="H18" i="4" s="1"/>
  <c r="K18" s="1"/>
  <c r="H12"/>
  <c r="G41"/>
  <c r="K10"/>
  <c r="H41" l="1"/>
  <c r="K41" s="1"/>
  <c r="K12"/>
  <c r="L4" i="2"/>
</calcChain>
</file>

<file path=xl/sharedStrings.xml><?xml version="1.0" encoding="utf-8"?>
<sst xmlns="http://schemas.openxmlformats.org/spreadsheetml/2006/main" count="242" uniqueCount="116">
  <si>
    <t>配分</t>
    <phoneticPr fontId="2" type="noConversion"/>
  </si>
  <si>
    <t>方位</t>
    <phoneticPr fontId="2" type="noConversion"/>
  </si>
  <si>
    <t>公称尺寸</t>
    <phoneticPr fontId="2" type="noConversion"/>
  </si>
  <si>
    <t>上偏差</t>
    <phoneticPr fontId="2" type="noConversion"/>
  </si>
  <si>
    <t>下偏差</t>
    <phoneticPr fontId="2" type="noConversion"/>
  </si>
  <si>
    <t>上极限尺寸</t>
    <phoneticPr fontId="2" type="noConversion"/>
  </si>
  <si>
    <t>下极限尺寸</t>
    <phoneticPr fontId="2" type="noConversion"/>
  </si>
  <si>
    <t>实际尺寸</t>
    <phoneticPr fontId="2" type="noConversion"/>
  </si>
  <si>
    <t>得分</t>
    <phoneticPr fontId="2" type="noConversion"/>
  </si>
  <si>
    <t>尺寸类型</t>
    <phoneticPr fontId="2" type="noConversion"/>
  </si>
  <si>
    <t>直径</t>
    <phoneticPr fontId="2" type="noConversion"/>
  </si>
  <si>
    <t>平行度</t>
    <phoneticPr fontId="2" type="noConversion"/>
  </si>
  <si>
    <t>螺纹</t>
    <phoneticPr fontId="2" type="noConversion"/>
  </si>
  <si>
    <t>表面质量</t>
    <phoneticPr fontId="2" type="noConversion"/>
  </si>
  <si>
    <t>修正值</t>
    <phoneticPr fontId="2" type="noConversion"/>
  </si>
  <si>
    <t>序号</t>
    <phoneticPr fontId="2" type="noConversion"/>
  </si>
  <si>
    <t>长度</t>
    <phoneticPr fontId="2" type="noConversion"/>
  </si>
  <si>
    <t>机床（加工）倒角</t>
    <phoneticPr fontId="2" type="noConversion"/>
  </si>
  <si>
    <t>手工倒角</t>
    <phoneticPr fontId="2" type="noConversion"/>
  </si>
  <si>
    <t>轮廓损伤</t>
    <phoneticPr fontId="2" type="noConversion"/>
  </si>
  <si>
    <t>第一面与图纸相符程度</t>
    <phoneticPr fontId="2" type="noConversion"/>
  </si>
  <si>
    <t>第二面与图纸相符程度</t>
    <phoneticPr fontId="2" type="noConversion"/>
  </si>
  <si>
    <r>
      <t>A-</t>
    </r>
    <r>
      <rPr>
        <sz val="8"/>
        <rFont val="宋体"/>
        <family val="3"/>
        <charset val="134"/>
      </rPr>
      <t>主要尺寸</t>
    </r>
    <phoneticPr fontId="2" type="noConversion"/>
  </si>
  <si>
    <r>
      <t>B-</t>
    </r>
    <r>
      <rPr>
        <sz val="8"/>
        <rFont val="宋体"/>
        <family val="3"/>
        <charset val="134"/>
      </rPr>
      <t>次要尺寸</t>
    </r>
    <phoneticPr fontId="2" type="noConversion"/>
  </si>
  <si>
    <r>
      <t>C-</t>
    </r>
    <r>
      <rPr>
        <sz val="8"/>
        <rFont val="宋体"/>
        <family val="3"/>
        <charset val="134"/>
      </rPr>
      <t>表面质量</t>
    </r>
    <phoneticPr fontId="2" type="noConversion"/>
  </si>
  <si>
    <r>
      <t>D-</t>
    </r>
    <r>
      <rPr>
        <sz val="8"/>
        <rFont val="宋体"/>
        <family val="3"/>
        <charset val="134"/>
      </rPr>
      <t>主观评判</t>
    </r>
    <phoneticPr fontId="2" type="noConversion"/>
  </si>
  <si>
    <r>
      <t>E-</t>
    </r>
    <r>
      <rPr>
        <sz val="8"/>
        <rFont val="宋体"/>
        <family val="3"/>
        <charset val="134"/>
      </rPr>
      <t>增加毛坯</t>
    </r>
    <phoneticPr fontId="2" type="noConversion"/>
  </si>
  <si>
    <t>是否更换增加毛坯</t>
    <phoneticPr fontId="2" type="noConversion"/>
  </si>
  <si>
    <t>签名</t>
    <phoneticPr fontId="2" type="noConversion"/>
  </si>
  <si>
    <t>日期</t>
    <phoneticPr fontId="2" type="noConversion"/>
  </si>
  <si>
    <t>裁判员1</t>
    <phoneticPr fontId="2" type="noConversion"/>
  </si>
  <si>
    <t>裁判员2</t>
    <phoneticPr fontId="2" type="noConversion"/>
  </si>
  <si>
    <t>裁判员3</t>
    <phoneticPr fontId="2" type="noConversion"/>
  </si>
  <si>
    <t>裁判长</t>
    <phoneticPr fontId="2" type="noConversion"/>
  </si>
  <si>
    <t>单位（学校）</t>
    <phoneticPr fontId="2" type="noConversion"/>
  </si>
  <si>
    <t>选手姓名</t>
    <phoneticPr fontId="2" type="noConversion"/>
  </si>
  <si>
    <t>成绩小计</t>
    <phoneticPr fontId="2" type="noConversion"/>
  </si>
  <si>
    <t>选手编号</t>
    <phoneticPr fontId="2" type="noConversion"/>
  </si>
  <si>
    <t>试题图号</t>
    <phoneticPr fontId="2" type="noConversion"/>
  </si>
  <si>
    <t>小计</t>
    <phoneticPr fontId="2" type="noConversion"/>
  </si>
  <si>
    <t>小计</t>
    <phoneticPr fontId="2" type="noConversion"/>
  </si>
  <si>
    <t>裁判签字</t>
    <phoneticPr fontId="2" type="noConversion"/>
  </si>
  <si>
    <t>裁判签字</t>
    <phoneticPr fontId="2" type="noConversion"/>
  </si>
  <si>
    <t>MOD2</t>
    <phoneticPr fontId="2" type="noConversion"/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</si>
  <si>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</si>
  <si>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</si>
  <si>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</si>
  <si>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</si>
  <si>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</si>
  <si>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评判项目编码</t>
    <phoneticPr fontId="4" type="noConversion"/>
  </si>
  <si>
    <t>评判项目</t>
    <phoneticPr fontId="4" type="noConversion"/>
  </si>
  <si>
    <t>分模块成绩</t>
    <phoneticPr fontId="4" type="noConversion"/>
  </si>
  <si>
    <t>成绩统计</t>
    <phoneticPr fontId="4" type="noConversion"/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</si>
  <si>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主要尺寸</t>
    </r>
    <phoneticPr fontId="4" type="noConversion"/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</si>
  <si>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2-主要尺寸</t>
    </r>
    <r>
      <rPr>
        <sz val="6"/>
        <rFont val="宋体"/>
        <family val="3"/>
        <charset val="134"/>
      </rPr>
      <t/>
    </r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</si>
  <si>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3-主要尺寸</t>
    </r>
    <r>
      <rPr>
        <sz val="6"/>
        <rFont val="宋体"/>
        <family val="3"/>
        <charset val="134"/>
      </rPr>
      <t/>
    </r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</si>
  <si>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次要尺寸</t>
    </r>
    <phoneticPr fontId="2" type="noConversion"/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</si>
  <si>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2-次要尺寸</t>
    </r>
    <r>
      <rPr>
        <sz val="6"/>
        <rFont val="宋体"/>
        <family val="3"/>
        <charset val="134"/>
      </rPr>
      <t/>
    </r>
  </si>
  <si>
    <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3-次要尺寸</t>
    </r>
    <r>
      <rPr>
        <sz val="6"/>
        <rFont val="宋体"/>
        <family val="3"/>
        <charset val="134"/>
      </rPr>
      <t/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</si>
  <si>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表面质量</t>
    </r>
    <phoneticPr fontId="4" type="noConversion"/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</si>
  <si>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2-表面质量</t>
    </r>
    <r>
      <rPr>
        <sz val="6"/>
        <rFont val="宋体"/>
        <family val="3"/>
        <charset val="134"/>
      </rPr>
      <t/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</si>
  <si>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3-表面质量</t>
    </r>
    <r>
      <rPr>
        <sz val="6"/>
        <rFont val="宋体"/>
        <family val="3"/>
        <charset val="134"/>
      </rPr>
      <t/>
    </r>
  </si>
  <si>
    <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主观评判</t>
    </r>
    <phoneticPr fontId="4" type="noConversion"/>
  </si>
  <si>
    <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2-主观评判</t>
    </r>
    <r>
      <rPr>
        <sz val="6"/>
        <rFont val="宋体"/>
        <family val="3"/>
        <charset val="134"/>
      </rPr>
      <t/>
    </r>
  </si>
  <si>
    <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3-主观评判</t>
    </r>
    <r>
      <rPr>
        <sz val="6"/>
        <rFont val="宋体"/>
        <family val="3"/>
        <charset val="134"/>
      </rPr>
      <t/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</si>
  <si>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family val="3"/>
        <charset val="134"/>
      </rPr>
      <t>是否增加毛坯</t>
    </r>
    <phoneticPr fontId="4" type="noConversion"/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</si>
  <si>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2-是否增加毛坯</t>
    </r>
    <r>
      <rPr>
        <sz val="6"/>
        <rFont val="宋体"/>
        <family val="3"/>
        <charset val="134"/>
      </rPr>
      <t/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</si>
  <si>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</rPr>
      <t>3-是否增加毛坯</t>
    </r>
    <r>
      <rPr>
        <sz val="6"/>
        <rFont val="宋体"/>
        <family val="3"/>
        <charset val="134"/>
      </rPr>
      <t/>
    </r>
  </si>
  <si>
    <t>配分</t>
    <phoneticPr fontId="2" type="noConversion"/>
  </si>
  <si>
    <t>实际得分</t>
    <phoneticPr fontId="2" type="noConversion"/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</si>
  <si>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</rPr>
      <t>1</t>
    </r>
    <phoneticPr fontId="4" type="noConversion"/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</si>
  <si>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</rPr>
      <t>2</t>
    </r>
    <phoneticPr fontId="4" type="noConversion"/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</si>
  <si>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</rPr>
      <t>3</t>
    </r>
    <phoneticPr fontId="4" type="noConversion"/>
  </si>
  <si>
    <t>总成绩</t>
    <phoneticPr fontId="2" type="noConversion"/>
  </si>
  <si>
    <t>裁判长签名</t>
    <phoneticPr fontId="2" type="noConversion"/>
  </si>
  <si>
    <t>选手指导签名</t>
    <phoneticPr fontId="2" type="noConversion"/>
  </si>
  <si>
    <t>2014年中国技能大赛—第43届世界技能大赛数控铣项目全国选拔赛样题评分汇总表</t>
    <phoneticPr fontId="2" type="noConversion"/>
  </si>
  <si>
    <t>2014年中国技能大赛—第43届世界技能大赛数控铣项目全国选拔赛MOD2样题评分表</t>
    <phoneticPr fontId="4" type="noConversion"/>
  </si>
  <si>
    <t>B1</t>
    <phoneticPr fontId="4" type="noConversion"/>
  </si>
  <si>
    <t>A4</t>
    <phoneticPr fontId="4" type="noConversion"/>
  </si>
  <si>
    <t>2X10</t>
    <phoneticPr fontId="4" type="noConversion"/>
  </si>
  <si>
    <t>B4</t>
    <phoneticPr fontId="4" type="noConversion"/>
  </si>
  <si>
    <t>C4</t>
    <phoneticPr fontId="4" type="noConversion"/>
  </si>
  <si>
    <t>D4</t>
    <phoneticPr fontId="4" type="noConversion"/>
  </si>
  <si>
    <t>2XM10</t>
    <phoneticPr fontId="4" type="noConversion"/>
  </si>
  <si>
    <t>B2</t>
    <phoneticPr fontId="4" type="noConversion"/>
  </si>
  <si>
    <t>M42X1.5</t>
    <phoneticPr fontId="4" type="noConversion"/>
  </si>
  <si>
    <t>B3</t>
    <phoneticPr fontId="4" type="noConversion"/>
  </si>
  <si>
    <t>A5</t>
    <phoneticPr fontId="4" type="noConversion"/>
  </si>
  <si>
    <t>B5</t>
    <phoneticPr fontId="4" type="noConversion"/>
  </si>
  <si>
    <t>C5</t>
    <phoneticPr fontId="4" type="noConversion"/>
  </si>
  <si>
    <t>D5</t>
    <phoneticPr fontId="4" type="noConversion"/>
  </si>
  <si>
    <t>B6</t>
    <phoneticPr fontId="4" type="noConversion"/>
  </si>
  <si>
    <t>A6</t>
    <phoneticPr fontId="4" type="noConversion"/>
  </si>
  <si>
    <t>A8</t>
    <phoneticPr fontId="4" type="noConversion"/>
  </si>
  <si>
    <t>A8</t>
    <phoneticPr fontId="4" type="noConversion"/>
  </si>
  <si>
    <t>B9</t>
    <phoneticPr fontId="4" type="noConversion"/>
  </si>
  <si>
    <t>D9</t>
    <phoneticPr fontId="4" type="noConversion"/>
  </si>
  <si>
    <t>D7</t>
    <phoneticPr fontId="4" type="noConversion"/>
  </si>
  <si>
    <t>C6</t>
    <phoneticPr fontId="4" type="noConversion"/>
  </si>
  <si>
    <t>B7</t>
    <phoneticPr fontId="4" type="noConversion"/>
  </si>
  <si>
    <t>B8</t>
    <phoneticPr fontId="4" type="noConversion"/>
  </si>
  <si>
    <t>C8</t>
    <phoneticPr fontId="4" type="noConversion"/>
  </si>
  <si>
    <t>C7</t>
    <phoneticPr fontId="4" type="noConversion"/>
  </si>
  <si>
    <t>A3</t>
    <phoneticPr fontId="4" type="noConversion"/>
  </si>
  <si>
    <t>D2</t>
    <phoneticPr fontId="4" type="noConversion"/>
  </si>
  <si>
    <t>D3</t>
    <phoneticPr fontId="4" type="noConversion"/>
  </si>
  <si>
    <t>角度</t>
    <phoneticPr fontId="2" type="noConversion"/>
  </si>
  <si>
    <t>C2</t>
    <phoneticPr fontId="4" type="noConversion"/>
  </si>
  <si>
    <t>半径</t>
    <phoneticPr fontId="2" type="noConversion"/>
  </si>
  <si>
    <t>C3</t>
    <phoneticPr fontId="4" type="noConversion"/>
  </si>
  <si>
    <t>C3</t>
    <phoneticPr fontId="4" type="noConversion"/>
  </si>
  <si>
    <t>2-60</t>
    <phoneticPr fontId="4" type="noConversion"/>
  </si>
  <si>
    <t>A3</t>
    <phoneticPr fontId="4" type="noConversion"/>
  </si>
  <si>
    <t>Ra1.6</t>
    <phoneticPr fontId="2" type="noConversion"/>
  </si>
  <si>
    <t>Ra3.2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</si>
</sst>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12">
    <font>
      <sz val="11"/>
      <color theme="1"/>
      <name val="宋体"/>
      <charset val="134"/>
      <scheme val="minor"/>
    </font>
    <font>
      <sz val="8"/>
      <name val="Arial"/>
      <family val="2"/>
    </font>
    <font>
      <sz val="9"/>
      <name val="宋体"/>
      <family val="3"/>
      <charset val="134"/>
    </font>
    <font>
      <sz val="8"/>
      <name val="宋体"/>
      <family val="3"/>
      <charset val="134"/>
    </font>
    <font>
      <sz val="9"/>
      <name val="宋体"/>
      <family val="3"/>
      <charset val="134"/>
    </font>
    <font>
      <sz val="6"/>
      <name val="Arial"/>
      <family val="2"/>
    </font>
    <font>
      <sz val="9"/>
      <name val="Arial"/>
      <family val="2"/>
    </font>
    <font>
      <sz val="6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b/>
      <sz val="12"/>
      <color indexed="8"/>
      <name val="宋体-18030"/>
      <family val="3"/>
      <charset val="134"/>
    </font>
    <font>
      <sz val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1" fillId="0" borderId="22" xfId="0" applyFont="1" applyBorder="1" applyAlignment="1">
      <alignment horizontal="center" vertical="center"/>
    </xf>
    <xf numFmtId="0" fontId="0" fillId="0" borderId="24" xfId="0" applyBorder="1">
      <alignment vertical="center"/>
    </xf>
    <xf numFmtId="0" fontId="1" fillId="0" borderId="26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3" xfId="0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1" fillId="3" borderId="32" xfId="0" applyFont="1" applyFill="1" applyBorder="1" applyAlignment="1">
      <alignment vertical="center"/>
    </xf>
    <xf numFmtId="0" fontId="1" fillId="3" borderId="33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58" fontId="1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40" xfId="0" applyFill="1" applyBorder="1" applyAlignment="1">
      <alignment horizontal="left" vertical="center"/>
    </xf>
    <xf numFmtId="0" fontId="0" fillId="2" borderId="4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right" vertical="center"/>
    </xf>
    <xf numFmtId="0" fontId="1" fillId="0" borderId="46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40" xfId="0" applyFont="1" applyBorder="1" applyAlignment="1">
      <alignment horizontal="right" vertical="center"/>
    </xf>
    <xf numFmtId="0" fontId="1" fillId="0" borderId="41" xfId="0" applyFont="1" applyBorder="1" applyAlignment="1">
      <alignment horizontal="right" vertical="center"/>
    </xf>
    <xf numFmtId="0" fontId="3" fillId="0" borderId="3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6" xfId="0" applyFont="1" applyBorder="1" applyAlignment="1">
      <alignment horizontal="right" vertical="center"/>
    </xf>
    <xf numFmtId="0" fontId="1" fillId="0" borderId="39" xfId="0" applyFont="1" applyBorder="1" applyAlignment="1">
      <alignment horizontal="right" vertical="center"/>
    </xf>
    <xf numFmtId="0" fontId="1" fillId="0" borderId="37" xfId="0" applyFont="1" applyBorder="1" applyAlignment="1">
      <alignment horizontal="right" vertical="center"/>
    </xf>
    <xf numFmtId="0" fontId="1" fillId="3" borderId="4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opLeftCell="A2" workbookViewId="0">
      <selection activeCell="M5" sqref="M5"/>
    </sheetView>
  </sheetViews>
  <sheetFormatPr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5"/>
    </row>
    <row r="2" spans="1:12" ht="16.5" customHeight="1">
      <c r="A2" s="56"/>
      <c r="B2" s="79" t="s">
        <v>76</v>
      </c>
      <c r="C2" s="80"/>
      <c r="D2" s="80"/>
      <c r="E2" s="80"/>
      <c r="F2" s="80"/>
      <c r="G2" s="80"/>
      <c r="H2" s="80"/>
      <c r="I2" s="80"/>
      <c r="J2" s="80"/>
      <c r="K2" s="80"/>
      <c r="L2" s="19"/>
    </row>
    <row r="3" spans="1:12" ht="16.5" customHeight="1">
      <c r="A3" s="56"/>
      <c r="B3" s="80"/>
      <c r="C3" s="80"/>
      <c r="D3" s="80"/>
      <c r="E3" s="80"/>
      <c r="F3" s="80"/>
      <c r="G3" s="80"/>
      <c r="H3" s="80"/>
      <c r="I3" s="80"/>
      <c r="J3" s="80"/>
      <c r="K3" s="80"/>
      <c r="L3" s="19"/>
    </row>
    <row r="4" spans="1:12" ht="16.5" customHeight="1">
      <c r="A4" s="56"/>
      <c r="B4" s="84" t="s">
        <v>34</v>
      </c>
      <c r="C4" s="85"/>
      <c r="D4" s="86"/>
      <c r="E4" s="87"/>
      <c r="F4" s="88"/>
      <c r="G4" s="89" t="s">
        <v>37</v>
      </c>
      <c r="H4" s="89"/>
      <c r="I4" s="81"/>
      <c r="J4" s="82"/>
      <c r="K4" s="83"/>
      <c r="L4" s="19"/>
    </row>
    <row r="5" spans="1:12" ht="16.5" customHeight="1">
      <c r="A5" s="56"/>
      <c r="B5" s="84" t="s">
        <v>35</v>
      </c>
      <c r="C5" s="85"/>
      <c r="D5" s="86"/>
      <c r="E5" s="87"/>
      <c r="F5" s="88"/>
      <c r="G5" s="89"/>
      <c r="H5" s="89"/>
      <c r="I5" s="81"/>
      <c r="J5" s="82"/>
      <c r="K5" s="83"/>
      <c r="L5" s="19"/>
    </row>
    <row r="6" spans="1:12">
      <c r="A6" s="56"/>
      <c r="B6" s="13"/>
      <c r="C6" s="13"/>
      <c r="D6" s="13"/>
      <c r="E6" s="13"/>
      <c r="F6" s="13"/>
      <c r="G6" s="13"/>
      <c r="H6" s="13"/>
      <c r="I6" s="13"/>
      <c r="J6" s="13"/>
      <c r="K6" s="13"/>
      <c r="L6" s="19"/>
    </row>
    <row r="7" spans="1:12">
      <c r="A7" s="56"/>
      <c r="B7" s="92" t="s">
        <v>49</v>
      </c>
      <c r="C7" s="91"/>
      <c r="D7" s="90" t="s">
        <v>50</v>
      </c>
      <c r="E7" s="91"/>
      <c r="F7" s="48"/>
      <c r="G7" s="90" t="s">
        <v>51</v>
      </c>
      <c r="H7" s="91"/>
      <c r="I7" s="91"/>
      <c r="J7" s="48"/>
      <c r="K7" s="90" t="s">
        <v>52</v>
      </c>
      <c r="L7" s="19"/>
    </row>
    <row r="8" spans="1:12">
      <c r="A8" s="56"/>
      <c r="B8" s="91"/>
      <c r="C8" s="91"/>
      <c r="D8" s="91"/>
      <c r="E8" s="91"/>
      <c r="F8" s="48"/>
      <c r="G8" s="51" t="s">
        <v>70</v>
      </c>
      <c r="H8" s="51" t="s">
        <v>71</v>
      </c>
      <c r="I8" s="51" t="s">
        <v>72</v>
      </c>
      <c r="J8" s="48"/>
      <c r="K8" s="91"/>
      <c r="L8" s="19"/>
    </row>
    <row r="9" spans="1:12">
      <c r="A9" s="56"/>
      <c r="B9" s="78" t="s">
        <v>44</v>
      </c>
      <c r="C9" s="78">
        <v>1</v>
      </c>
      <c r="D9" s="78" t="s">
        <v>53</v>
      </c>
      <c r="E9" s="78"/>
      <c r="F9" s="50" t="s">
        <v>68</v>
      </c>
      <c r="G9" s="3">
        <v>18</v>
      </c>
      <c r="H9" s="3"/>
      <c r="I9" s="3"/>
      <c r="J9" s="45"/>
      <c r="K9" s="45"/>
      <c r="L9" s="19"/>
    </row>
    <row r="10" spans="1:12">
      <c r="A10" s="56"/>
      <c r="B10" s="78"/>
      <c r="C10" s="78"/>
      <c r="D10" s="78"/>
      <c r="E10" s="78"/>
      <c r="F10" s="50" t="s">
        <v>69</v>
      </c>
      <c r="G10" s="3" t="e">
        <f>SUM(#REF!)</f>
        <v>#REF!</v>
      </c>
      <c r="H10" s="3"/>
      <c r="I10" s="3"/>
      <c r="J10" s="45"/>
      <c r="K10" s="3" t="e">
        <f>SUM(G10:J10)</f>
        <v>#REF!</v>
      </c>
      <c r="L10" s="19"/>
    </row>
    <row r="11" spans="1:12">
      <c r="A11" s="56"/>
      <c r="B11" s="78" t="s">
        <v>44</v>
      </c>
      <c r="C11" s="78">
        <v>2</v>
      </c>
      <c r="D11" s="78" t="s">
        <v>54</v>
      </c>
      <c r="E11" s="78"/>
      <c r="F11" s="50" t="s">
        <v>68</v>
      </c>
      <c r="G11" s="3"/>
      <c r="H11" s="3">
        <v>18</v>
      </c>
      <c r="I11" s="3"/>
      <c r="J11" s="45"/>
      <c r="K11" s="45"/>
      <c r="L11" s="19"/>
    </row>
    <row r="12" spans="1:12">
      <c r="A12" s="56"/>
      <c r="B12" s="78"/>
      <c r="C12" s="78"/>
      <c r="D12" s="78"/>
      <c r="E12" s="78"/>
      <c r="F12" s="50" t="s">
        <v>69</v>
      </c>
      <c r="G12" s="3"/>
      <c r="H12" s="3">
        <f>SUM('MOD2-评分表'!L35)</f>
        <v>0</v>
      </c>
      <c r="I12" s="3"/>
      <c r="J12" s="45"/>
      <c r="K12" s="3">
        <f>SUM(G12:J12)</f>
        <v>0</v>
      </c>
      <c r="L12" s="19"/>
    </row>
    <row r="13" spans="1:12">
      <c r="A13" s="56"/>
      <c r="B13" s="78" t="s">
        <v>44</v>
      </c>
      <c r="C13" s="78">
        <v>3</v>
      </c>
      <c r="D13" s="78" t="s">
        <v>55</v>
      </c>
      <c r="E13" s="78"/>
      <c r="F13" s="50" t="s">
        <v>68</v>
      </c>
      <c r="G13" s="3"/>
      <c r="H13" s="3"/>
      <c r="I13" s="3">
        <v>18</v>
      </c>
      <c r="J13" s="45"/>
      <c r="K13" s="45"/>
      <c r="L13" s="19"/>
    </row>
    <row r="14" spans="1:12">
      <c r="A14" s="56"/>
      <c r="B14" s="78"/>
      <c r="C14" s="78"/>
      <c r="D14" s="78"/>
      <c r="E14" s="78"/>
      <c r="F14" s="50" t="s">
        <v>69</v>
      </c>
      <c r="G14" s="3"/>
      <c r="H14" s="3"/>
      <c r="I14" s="3"/>
      <c r="J14" s="45"/>
      <c r="K14" s="3">
        <f>SUM(G14:J14)</f>
        <v>0</v>
      </c>
      <c r="L14" s="19"/>
    </row>
    <row r="15" spans="1:12">
      <c r="A15" s="56"/>
      <c r="B15" s="78" t="s">
        <v>45</v>
      </c>
      <c r="C15" s="78">
        <v>1</v>
      </c>
      <c r="D15" s="78" t="s">
        <v>56</v>
      </c>
      <c r="E15" s="78"/>
      <c r="F15" s="50" t="s">
        <v>68</v>
      </c>
      <c r="G15" s="3">
        <v>7</v>
      </c>
      <c r="H15" s="3"/>
      <c r="I15" s="3"/>
      <c r="J15" s="45"/>
      <c r="K15" s="45"/>
      <c r="L15" s="19"/>
    </row>
    <row r="16" spans="1:12">
      <c r="A16" s="56"/>
      <c r="B16" s="78"/>
      <c r="C16" s="78"/>
      <c r="D16" s="78"/>
      <c r="E16" s="78"/>
      <c r="F16" s="50" t="s">
        <v>69</v>
      </c>
      <c r="G16" s="3" t="e">
        <f>SUM(#REF!)</f>
        <v>#REF!</v>
      </c>
      <c r="H16" s="3"/>
      <c r="I16" s="3"/>
      <c r="J16" s="45"/>
      <c r="K16" s="3" t="e">
        <f>SUM(G16:J16)</f>
        <v>#REF!</v>
      </c>
      <c r="L16" s="19"/>
    </row>
    <row r="17" spans="1:12">
      <c r="A17" s="56"/>
      <c r="B17" s="78" t="s">
        <v>45</v>
      </c>
      <c r="C17" s="78">
        <v>2</v>
      </c>
      <c r="D17" s="78" t="s">
        <v>57</v>
      </c>
      <c r="E17" s="78"/>
      <c r="F17" s="50" t="s">
        <v>68</v>
      </c>
      <c r="G17" s="3"/>
      <c r="H17" s="3">
        <v>7</v>
      </c>
      <c r="I17" s="3"/>
      <c r="J17" s="45"/>
      <c r="K17" s="45"/>
      <c r="L17" s="19"/>
    </row>
    <row r="18" spans="1:12">
      <c r="A18" s="56"/>
      <c r="B18" s="78"/>
      <c r="C18" s="78"/>
      <c r="D18" s="78"/>
      <c r="E18" s="78"/>
      <c r="F18" s="50" t="s">
        <v>69</v>
      </c>
      <c r="G18" s="3"/>
      <c r="H18" s="3">
        <f>SUM('MOD2-评分表'!L61)</f>
        <v>0</v>
      </c>
      <c r="I18" s="3"/>
      <c r="J18" s="45"/>
      <c r="K18" s="3">
        <f>SUM(G18:J18)</f>
        <v>0</v>
      </c>
      <c r="L18" s="19"/>
    </row>
    <row r="19" spans="1:12">
      <c r="A19" s="56"/>
      <c r="B19" s="78" t="s">
        <v>45</v>
      </c>
      <c r="C19" s="78">
        <v>3</v>
      </c>
      <c r="D19" s="78" t="s">
        <v>58</v>
      </c>
      <c r="E19" s="78"/>
      <c r="F19" s="50" t="s">
        <v>68</v>
      </c>
      <c r="G19" s="3"/>
      <c r="H19" s="3"/>
      <c r="I19" s="3">
        <v>7</v>
      </c>
      <c r="J19" s="45"/>
      <c r="K19" s="45"/>
      <c r="L19" s="19"/>
    </row>
    <row r="20" spans="1:12">
      <c r="A20" s="56"/>
      <c r="B20" s="78"/>
      <c r="C20" s="78"/>
      <c r="D20" s="78"/>
      <c r="E20" s="78"/>
      <c r="F20" s="50" t="s">
        <v>69</v>
      </c>
      <c r="G20" s="3"/>
      <c r="H20" s="3"/>
      <c r="I20" s="3"/>
      <c r="J20" s="45"/>
      <c r="K20" s="3">
        <f>SUM(G20:J20)</f>
        <v>0</v>
      </c>
      <c r="L20" s="19"/>
    </row>
    <row r="21" spans="1:12">
      <c r="A21" s="56"/>
      <c r="B21" s="78" t="s">
        <v>46</v>
      </c>
      <c r="C21" s="78">
        <v>1</v>
      </c>
      <c r="D21" s="78" t="s">
        <v>59</v>
      </c>
      <c r="E21" s="78"/>
      <c r="F21" s="50" t="s">
        <v>68</v>
      </c>
      <c r="G21" s="3">
        <v>3</v>
      </c>
      <c r="H21" s="3"/>
      <c r="I21" s="3"/>
      <c r="J21" s="45"/>
      <c r="K21" s="45"/>
      <c r="L21" s="19"/>
    </row>
    <row r="22" spans="1:12">
      <c r="A22" s="56"/>
      <c r="B22" s="78"/>
      <c r="C22" s="78"/>
      <c r="D22" s="78"/>
      <c r="E22" s="78"/>
      <c r="F22" s="50" t="s">
        <v>69</v>
      </c>
      <c r="G22" s="3" t="e">
        <f>SUM(#REF!)</f>
        <v>#REF!</v>
      </c>
      <c r="H22" s="3"/>
      <c r="I22" s="3"/>
      <c r="J22" s="45"/>
      <c r="K22" s="3" t="e">
        <f>SUM(G22:J22)</f>
        <v>#REF!</v>
      </c>
      <c r="L22" s="19"/>
    </row>
    <row r="23" spans="1:12">
      <c r="A23" s="56"/>
      <c r="B23" s="78" t="s">
        <v>46</v>
      </c>
      <c r="C23" s="78">
        <v>2</v>
      </c>
      <c r="D23" s="78" t="s">
        <v>60</v>
      </c>
      <c r="E23" s="78"/>
      <c r="F23" s="50" t="s">
        <v>68</v>
      </c>
      <c r="G23" s="3"/>
      <c r="H23" s="3">
        <v>3</v>
      </c>
      <c r="I23" s="3"/>
      <c r="J23" s="45"/>
      <c r="K23" s="45"/>
      <c r="L23" s="19"/>
    </row>
    <row r="24" spans="1:12">
      <c r="A24" s="56"/>
      <c r="B24" s="78"/>
      <c r="C24" s="78"/>
      <c r="D24" s="78"/>
      <c r="E24" s="78"/>
      <c r="F24" s="50" t="s">
        <v>69</v>
      </c>
      <c r="G24" s="3"/>
      <c r="H24" s="3">
        <f>SUM('MOD2-评分表'!L72)</f>
        <v>0</v>
      </c>
      <c r="I24" s="3"/>
      <c r="J24" s="45"/>
      <c r="K24" s="3">
        <f>SUM(G24:J24)</f>
        <v>0</v>
      </c>
      <c r="L24" s="19"/>
    </row>
    <row r="25" spans="1:12">
      <c r="A25" s="56"/>
      <c r="B25" s="78" t="s">
        <v>46</v>
      </c>
      <c r="C25" s="78">
        <v>3</v>
      </c>
      <c r="D25" s="78" t="s">
        <v>61</v>
      </c>
      <c r="E25" s="78"/>
      <c r="F25" s="50" t="s">
        <v>68</v>
      </c>
      <c r="G25" s="3"/>
      <c r="H25" s="3"/>
      <c r="I25" s="3">
        <v>3</v>
      </c>
      <c r="J25" s="45"/>
      <c r="K25" s="45"/>
      <c r="L25" s="19"/>
    </row>
    <row r="26" spans="1:12">
      <c r="A26" s="56"/>
      <c r="B26" s="78"/>
      <c r="C26" s="78"/>
      <c r="D26" s="78"/>
      <c r="E26" s="78"/>
      <c r="F26" s="50" t="s">
        <v>69</v>
      </c>
      <c r="G26" s="3"/>
      <c r="H26" s="3"/>
      <c r="I26" s="3"/>
      <c r="J26" s="45"/>
      <c r="K26" s="3">
        <f>SUM(G26:J26)</f>
        <v>0</v>
      </c>
      <c r="L26" s="19"/>
    </row>
    <row r="27" spans="1:12">
      <c r="A27" s="56"/>
      <c r="B27" s="78" t="s">
        <v>47</v>
      </c>
      <c r="C27" s="78">
        <v>1</v>
      </c>
      <c r="D27" s="78" t="s">
        <v>62</v>
      </c>
      <c r="E27" s="78"/>
      <c r="F27" s="50" t="s">
        <v>68</v>
      </c>
      <c r="G27" s="3">
        <v>3.3</v>
      </c>
      <c r="H27" s="3"/>
      <c r="I27" s="3"/>
      <c r="J27" s="45"/>
      <c r="K27" s="45"/>
      <c r="L27" s="19"/>
    </row>
    <row r="28" spans="1:12">
      <c r="A28" s="56"/>
      <c r="B28" s="78"/>
      <c r="C28" s="78"/>
      <c r="D28" s="78"/>
      <c r="E28" s="78"/>
      <c r="F28" s="50" t="s">
        <v>69</v>
      </c>
      <c r="G28" s="3" t="e">
        <f>SUM(#REF!)</f>
        <v>#REF!</v>
      </c>
      <c r="H28" s="3"/>
      <c r="I28" s="3"/>
      <c r="J28" s="45"/>
      <c r="K28" s="3" t="e">
        <f>SUM(G28:J28)</f>
        <v>#REF!</v>
      </c>
      <c r="L28" s="19"/>
    </row>
    <row r="29" spans="1:12">
      <c r="A29" s="56"/>
      <c r="B29" s="78" t="s">
        <v>47</v>
      </c>
      <c r="C29" s="78">
        <v>2</v>
      </c>
      <c r="D29" s="78" t="s">
        <v>63</v>
      </c>
      <c r="E29" s="78"/>
      <c r="F29" s="50" t="s">
        <v>68</v>
      </c>
      <c r="G29" s="3"/>
      <c r="H29" s="3">
        <v>3.3</v>
      </c>
      <c r="I29" s="3"/>
      <c r="J29" s="45"/>
      <c r="K29" s="45"/>
      <c r="L29" s="19"/>
    </row>
    <row r="30" spans="1:12">
      <c r="A30" s="56"/>
      <c r="B30" s="78"/>
      <c r="C30" s="78"/>
      <c r="D30" s="78"/>
      <c r="E30" s="78"/>
      <c r="F30" s="50" t="s">
        <v>69</v>
      </c>
      <c r="G30" s="3"/>
      <c r="H30" s="3">
        <f>SUM('MOD2-评分表'!L88)</f>
        <v>0</v>
      </c>
      <c r="I30" s="3"/>
      <c r="J30" s="45"/>
      <c r="K30" s="3">
        <f>SUM(G30:J30)</f>
        <v>0</v>
      </c>
      <c r="L30" s="19"/>
    </row>
    <row r="31" spans="1:12">
      <c r="A31" s="56"/>
      <c r="B31" s="78" t="s">
        <v>47</v>
      </c>
      <c r="C31" s="78">
        <v>3</v>
      </c>
      <c r="D31" s="78" t="s">
        <v>64</v>
      </c>
      <c r="E31" s="78"/>
      <c r="F31" s="50" t="s">
        <v>68</v>
      </c>
      <c r="G31" s="3"/>
      <c r="H31" s="3"/>
      <c r="I31" s="3">
        <v>3.4</v>
      </c>
      <c r="J31" s="45"/>
      <c r="K31" s="45"/>
      <c r="L31" s="19"/>
    </row>
    <row r="32" spans="1:12">
      <c r="A32" s="56"/>
      <c r="B32" s="78"/>
      <c r="C32" s="78"/>
      <c r="D32" s="78"/>
      <c r="E32" s="78"/>
      <c r="F32" s="50" t="s">
        <v>69</v>
      </c>
      <c r="G32" s="3"/>
      <c r="H32" s="3"/>
      <c r="I32" s="3"/>
      <c r="J32" s="45"/>
      <c r="K32" s="3">
        <f>SUM(G32:J32)</f>
        <v>0</v>
      </c>
      <c r="L32" s="19"/>
    </row>
    <row r="33" spans="1:12">
      <c r="A33" s="56"/>
      <c r="B33" s="78" t="s">
        <v>48</v>
      </c>
      <c r="C33" s="78">
        <v>1</v>
      </c>
      <c r="D33" s="78" t="s">
        <v>65</v>
      </c>
      <c r="E33" s="78"/>
      <c r="F33" s="50" t="s">
        <v>68</v>
      </c>
      <c r="G33" s="3">
        <v>2</v>
      </c>
      <c r="H33" s="3"/>
      <c r="I33" s="3"/>
      <c r="J33" s="45"/>
      <c r="K33" s="45"/>
      <c r="L33" s="19"/>
    </row>
    <row r="34" spans="1:12">
      <c r="A34" s="56"/>
      <c r="B34" s="78"/>
      <c r="C34" s="78"/>
      <c r="D34" s="78"/>
      <c r="E34" s="78"/>
      <c r="F34" s="50" t="s">
        <v>69</v>
      </c>
      <c r="G34" s="3" t="e">
        <f>SUM(#REF!)</f>
        <v>#REF!</v>
      </c>
      <c r="H34" s="3"/>
      <c r="I34" s="3"/>
      <c r="J34" s="45"/>
      <c r="K34" s="3" t="e">
        <f>SUM(G34:J34)</f>
        <v>#REF!</v>
      </c>
      <c r="L34" s="19"/>
    </row>
    <row r="35" spans="1:12">
      <c r="A35" s="56"/>
      <c r="B35" s="78" t="s">
        <v>48</v>
      </c>
      <c r="C35" s="78">
        <v>2</v>
      </c>
      <c r="D35" s="78" t="s">
        <v>66</v>
      </c>
      <c r="E35" s="78"/>
      <c r="F35" s="50" t="s">
        <v>68</v>
      </c>
      <c r="G35" s="3"/>
      <c r="H35" s="3">
        <v>2</v>
      </c>
      <c r="I35" s="3"/>
      <c r="J35" s="45"/>
      <c r="K35" s="45"/>
      <c r="L35" s="19"/>
    </row>
    <row r="36" spans="1:12">
      <c r="A36" s="56"/>
      <c r="B36" s="78"/>
      <c r="C36" s="78"/>
      <c r="D36" s="78"/>
      <c r="E36" s="78"/>
      <c r="F36" s="50" t="s">
        <v>69</v>
      </c>
      <c r="G36" s="3"/>
      <c r="H36" s="3">
        <f>SUM('MOD2-评分表'!L92)</f>
        <v>3</v>
      </c>
      <c r="I36" s="3"/>
      <c r="J36" s="45"/>
      <c r="K36" s="3">
        <f>SUM(G36:J36)</f>
        <v>3</v>
      </c>
      <c r="L36" s="19"/>
    </row>
    <row r="37" spans="1:12">
      <c r="A37" s="56"/>
      <c r="B37" s="78" t="s">
        <v>48</v>
      </c>
      <c r="C37" s="78">
        <v>3</v>
      </c>
      <c r="D37" s="78" t="s">
        <v>67</v>
      </c>
      <c r="E37" s="78"/>
      <c r="F37" s="50" t="s">
        <v>68</v>
      </c>
      <c r="G37" s="3"/>
      <c r="H37" s="3"/>
      <c r="I37" s="3">
        <v>2</v>
      </c>
      <c r="J37" s="45"/>
      <c r="K37" s="45"/>
      <c r="L37" s="19"/>
    </row>
    <row r="38" spans="1:12">
      <c r="A38" s="56"/>
      <c r="B38" s="78"/>
      <c r="C38" s="78"/>
      <c r="D38" s="78"/>
      <c r="E38" s="78"/>
      <c r="F38" s="50" t="s">
        <v>69</v>
      </c>
      <c r="G38" s="3"/>
      <c r="H38" s="3"/>
      <c r="I38" s="3"/>
      <c r="J38" s="45"/>
      <c r="K38" s="3">
        <f>SUM(G38:J38)</f>
        <v>0</v>
      </c>
      <c r="L38" s="19"/>
    </row>
    <row r="39" spans="1:12">
      <c r="A39" s="56"/>
      <c r="B39" s="52"/>
      <c r="C39" s="52"/>
      <c r="D39" s="52"/>
      <c r="E39" s="49"/>
      <c r="F39" s="47"/>
      <c r="G39" s="46"/>
      <c r="H39" s="46"/>
      <c r="I39" s="46"/>
      <c r="J39" s="46"/>
      <c r="K39" s="46"/>
      <c r="L39" s="19"/>
    </row>
    <row r="40" spans="1:12">
      <c r="A40" s="56"/>
      <c r="B40" s="52"/>
      <c r="C40" s="52"/>
      <c r="D40" s="52"/>
      <c r="E40" s="49"/>
      <c r="F40" s="50" t="s">
        <v>68</v>
      </c>
      <c r="G40" s="3">
        <f>SUM(G9+G15+G21+G27+G33)</f>
        <v>33.299999999999997</v>
      </c>
      <c r="H40" s="3">
        <f>SUM(H11+H17+H23+H29+H35)</f>
        <v>33.299999999999997</v>
      </c>
      <c r="I40" s="3">
        <f>SUM(I13+I19+I25+I31+I37)</f>
        <v>33.4</v>
      </c>
      <c r="J40" s="50" t="s">
        <v>68</v>
      </c>
      <c r="K40" s="3">
        <f>SUM(G40:J40)</f>
        <v>100</v>
      </c>
      <c r="L40" s="19"/>
    </row>
    <row r="41" spans="1:12" ht="14.25" customHeight="1">
      <c r="A41" s="56"/>
      <c r="B41" s="52"/>
      <c r="C41" s="52"/>
      <c r="D41" s="52"/>
      <c r="E41" s="49"/>
      <c r="F41" s="50" t="s">
        <v>69</v>
      </c>
      <c r="G41" s="3" t="e">
        <f>SUM(G10+G16+G22+G28+G34)</f>
        <v>#REF!</v>
      </c>
      <c r="H41" s="3">
        <f>SUM(H12+H18+H24+H30+H36)</f>
        <v>3</v>
      </c>
      <c r="I41" s="3">
        <v>0</v>
      </c>
      <c r="J41" s="50" t="s">
        <v>73</v>
      </c>
      <c r="K41" s="58" t="e">
        <f>SUM(G41:J41)</f>
        <v>#REF!</v>
      </c>
      <c r="L41" s="19"/>
    </row>
    <row r="42" spans="1:12">
      <c r="A42" s="56"/>
      <c r="B42" s="52"/>
      <c r="C42" s="52"/>
      <c r="D42" s="52"/>
      <c r="E42" s="49"/>
      <c r="F42" s="46"/>
      <c r="G42" s="46"/>
      <c r="H42" s="46"/>
      <c r="I42" s="46"/>
      <c r="J42" s="46"/>
      <c r="K42" s="13"/>
      <c r="L42" s="19"/>
    </row>
    <row r="43" spans="1:12">
      <c r="A43" s="56"/>
      <c r="B43" s="52"/>
      <c r="C43" s="52"/>
      <c r="D43" s="52"/>
      <c r="E43" s="49"/>
      <c r="F43" s="46"/>
      <c r="G43" s="76" t="s">
        <v>75</v>
      </c>
      <c r="H43" s="76"/>
      <c r="I43" s="77"/>
      <c r="J43" s="77"/>
      <c r="K43" s="77"/>
      <c r="L43" s="19"/>
    </row>
    <row r="44" spans="1:12">
      <c r="A44" s="56"/>
      <c r="B44" s="13"/>
      <c r="C44" s="13"/>
      <c r="D44" s="13"/>
      <c r="E44" s="13"/>
      <c r="F44" s="13"/>
      <c r="G44" s="76"/>
      <c r="H44" s="76"/>
      <c r="I44" s="77"/>
      <c r="J44" s="77"/>
      <c r="K44" s="77"/>
      <c r="L44" s="19"/>
    </row>
    <row r="45" spans="1:12">
      <c r="A45" s="56"/>
      <c r="B45" s="13"/>
      <c r="C45" s="13"/>
      <c r="D45" s="13"/>
      <c r="E45" s="13"/>
      <c r="F45" s="13"/>
      <c r="G45" s="66" t="s">
        <v>74</v>
      </c>
      <c r="H45" s="67"/>
      <c r="I45" s="70"/>
      <c r="J45" s="71"/>
      <c r="K45" s="72"/>
      <c r="L45" s="19"/>
    </row>
    <row r="46" spans="1:12">
      <c r="A46" s="56"/>
      <c r="B46" s="13"/>
      <c r="C46" s="13"/>
      <c r="D46" s="13"/>
      <c r="E46" s="13"/>
      <c r="F46" s="13"/>
      <c r="G46" s="68"/>
      <c r="H46" s="69"/>
      <c r="I46" s="73"/>
      <c r="J46" s="74"/>
      <c r="K46" s="75"/>
      <c r="L46" s="19"/>
    </row>
    <row r="47" spans="1:12" ht="14.25" thickBot="1">
      <c r="A47" s="57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4"/>
    </row>
  </sheetData>
  <protectedRanges>
    <protectedRange sqref="B2" name="区域1"/>
    <protectedRange sqref="E4:F5" name="区域2"/>
    <protectedRange sqref="I4:K5" name="区域3"/>
  </protectedRanges>
  <mergeCells count="62">
    <mergeCell ref="D13:E14"/>
    <mergeCell ref="B13:B14"/>
    <mergeCell ref="C13:C14"/>
    <mergeCell ref="D23:E24"/>
    <mergeCell ref="B21:B22"/>
    <mergeCell ref="C21:C22"/>
    <mergeCell ref="D21:E22"/>
    <mergeCell ref="D19:E20"/>
    <mergeCell ref="B17:B18"/>
    <mergeCell ref="C17:C18"/>
    <mergeCell ref="D17:E18"/>
    <mergeCell ref="B15:B16"/>
    <mergeCell ref="C15:C16"/>
    <mergeCell ref="D15:E16"/>
    <mergeCell ref="B23:B24"/>
    <mergeCell ref="C23:C24"/>
    <mergeCell ref="K7:K8"/>
    <mergeCell ref="B9:B10"/>
    <mergeCell ref="C9:C10"/>
    <mergeCell ref="B11:B12"/>
    <mergeCell ref="C11:C12"/>
    <mergeCell ref="B7:C8"/>
    <mergeCell ref="G7:I7"/>
    <mergeCell ref="D7:E8"/>
    <mergeCell ref="D9:E10"/>
    <mergeCell ref="D11:E12"/>
    <mergeCell ref="B2:K3"/>
    <mergeCell ref="I5:K5"/>
    <mergeCell ref="I4:K4"/>
    <mergeCell ref="B4:D4"/>
    <mergeCell ref="E4:F4"/>
    <mergeCell ref="G4:H4"/>
    <mergeCell ref="B5:D5"/>
    <mergeCell ref="E5:F5"/>
    <mergeCell ref="G5:H5"/>
    <mergeCell ref="B19:B20"/>
    <mergeCell ref="C19:C20"/>
    <mergeCell ref="C37:C38"/>
    <mergeCell ref="B27:B28"/>
    <mergeCell ref="C27:C28"/>
    <mergeCell ref="B37:B38"/>
    <mergeCell ref="B33:B34"/>
    <mergeCell ref="B29:B30"/>
    <mergeCell ref="C29:C30"/>
    <mergeCell ref="B35:B36"/>
    <mergeCell ref="C35:C36"/>
    <mergeCell ref="B31:B32"/>
    <mergeCell ref="C31:C32"/>
    <mergeCell ref="D29:E30"/>
    <mergeCell ref="D27:E28"/>
    <mergeCell ref="B25:B26"/>
    <mergeCell ref="C25:C26"/>
    <mergeCell ref="C33:C34"/>
    <mergeCell ref="D25:E26"/>
    <mergeCell ref="D33:E34"/>
    <mergeCell ref="G45:H46"/>
    <mergeCell ref="I45:K46"/>
    <mergeCell ref="G43:H44"/>
    <mergeCell ref="I43:K44"/>
    <mergeCell ref="D31:E32"/>
    <mergeCell ref="D37:E38"/>
    <mergeCell ref="D35:E36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W98"/>
  <sheetViews>
    <sheetView tabSelected="1" workbookViewId="0">
      <selection activeCell="AB10" sqref="AB10"/>
    </sheetView>
  </sheetViews>
  <sheetFormatPr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7" customWidth="1"/>
    <col min="12" max="13" width="6.625" customWidth="1"/>
    <col min="15" max="23" width="9" hidden="1" customWidth="1"/>
    <col min="24" max="24" width="0" hidden="1" customWidth="1"/>
  </cols>
  <sheetData>
    <row r="1" spans="2:13" ht="16.5" customHeight="1">
      <c r="B1" s="96" t="s">
        <v>77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8"/>
    </row>
    <row r="2" spans="2:13" ht="16.5" customHeight="1">
      <c r="B2" s="99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</row>
    <row r="3" spans="2:13" ht="16.5" customHeight="1">
      <c r="B3" s="102" t="s">
        <v>34</v>
      </c>
      <c r="C3" s="85"/>
      <c r="D3" s="86"/>
      <c r="E3" s="84" t="str">
        <f>T(成绩单!E4)</f>
        <v/>
      </c>
      <c r="F3" s="86"/>
      <c r="G3" s="84" t="s">
        <v>37</v>
      </c>
      <c r="H3" s="86"/>
      <c r="I3" s="84" t="str">
        <f>T(成绩单!I4)</f>
        <v/>
      </c>
      <c r="J3" s="86"/>
      <c r="K3" s="10"/>
      <c r="L3" s="76"/>
      <c r="M3" s="109"/>
    </row>
    <row r="4" spans="2:13" ht="16.5" customHeight="1" thickBot="1">
      <c r="B4" s="103" t="s">
        <v>35</v>
      </c>
      <c r="C4" s="104"/>
      <c r="D4" s="105"/>
      <c r="E4" s="106" t="str">
        <f>T(成绩单!E5)</f>
        <v/>
      </c>
      <c r="F4" s="105"/>
      <c r="G4" s="106" t="s">
        <v>38</v>
      </c>
      <c r="H4" s="105"/>
      <c r="I4" s="107" t="s">
        <v>43</v>
      </c>
      <c r="J4" s="107"/>
      <c r="K4" s="15" t="s">
        <v>36</v>
      </c>
      <c r="L4" s="106">
        <f>SUM(L7:L91)</f>
        <v>3</v>
      </c>
      <c r="M4" s="108"/>
    </row>
    <row r="5" spans="2:13" ht="14.25" thickBot="1"/>
    <row r="6" spans="2:13" ht="14.25" thickBot="1">
      <c r="B6" s="31" t="s">
        <v>15</v>
      </c>
      <c r="C6" s="32" t="s">
        <v>0</v>
      </c>
      <c r="D6" s="32" t="s">
        <v>1</v>
      </c>
      <c r="E6" s="32" t="s">
        <v>9</v>
      </c>
      <c r="F6" s="32" t="s">
        <v>2</v>
      </c>
      <c r="G6" s="32" t="s">
        <v>3</v>
      </c>
      <c r="H6" s="32" t="s">
        <v>4</v>
      </c>
      <c r="I6" s="32" t="s">
        <v>5</v>
      </c>
      <c r="J6" s="32" t="s">
        <v>6</v>
      </c>
      <c r="K6" s="32" t="s">
        <v>7</v>
      </c>
      <c r="L6" s="32" t="s">
        <v>8</v>
      </c>
      <c r="M6" s="33" t="s">
        <v>14</v>
      </c>
    </row>
    <row r="7" spans="2:13">
      <c r="B7" s="59" t="s">
        <v>22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1"/>
    </row>
    <row r="8" spans="2:13">
      <c r="B8" s="16">
        <v>1</v>
      </c>
      <c r="C8">
        <v>1</v>
      </c>
      <c r="D8" s="63" t="s">
        <v>79</v>
      </c>
      <c r="E8" s="62" t="s">
        <v>10</v>
      </c>
      <c r="F8" s="64" t="s">
        <v>80</v>
      </c>
      <c r="G8" s="4">
        <v>1.4999999999999999E-2</v>
      </c>
      <c r="H8" s="4">
        <v>0</v>
      </c>
      <c r="I8" s="62">
        <v>10.015000000000001</v>
      </c>
      <c r="J8" s="3">
        <v>10</v>
      </c>
      <c r="K8" s="5"/>
      <c r="L8" s="3"/>
      <c r="M8" s="17"/>
    </row>
    <row r="9" spans="2:13">
      <c r="B9" s="16">
        <v>2</v>
      </c>
      <c r="C9">
        <v>1</v>
      </c>
      <c r="D9" s="63" t="s">
        <v>81</v>
      </c>
      <c r="E9" s="62" t="s">
        <v>16</v>
      </c>
      <c r="F9" s="4">
        <v>22</v>
      </c>
      <c r="G9" s="4">
        <v>0</v>
      </c>
      <c r="H9" s="4">
        <v>-2.1000000000000001E-2</v>
      </c>
      <c r="I9" s="3">
        <f>SUM(G9)</f>
        <v>0</v>
      </c>
      <c r="J9" s="3">
        <f>SUM(H9)</f>
        <v>-2.1000000000000001E-2</v>
      </c>
      <c r="K9" s="5"/>
      <c r="L9" s="3"/>
      <c r="M9" s="17"/>
    </row>
    <row r="10" spans="2:13">
      <c r="B10" s="16">
        <v>3</v>
      </c>
      <c r="C10">
        <v>1</v>
      </c>
      <c r="D10" s="63" t="s">
        <v>82</v>
      </c>
      <c r="E10" s="3" t="s">
        <v>16</v>
      </c>
      <c r="F10" s="4">
        <v>14</v>
      </c>
      <c r="G10" s="4">
        <v>0</v>
      </c>
      <c r="H10" s="4">
        <v>-1.7999999999999999E-2</v>
      </c>
      <c r="I10" s="3">
        <f t="shared" ref="I10:I34" si="0">SUM(F10+G10)</f>
        <v>14</v>
      </c>
      <c r="J10" s="3">
        <f t="shared" ref="J10:J34" si="1">SUM(F10+H10)</f>
        <v>13.981999999999999</v>
      </c>
      <c r="K10" s="5"/>
      <c r="L10" s="3"/>
      <c r="M10" s="17"/>
    </row>
    <row r="11" spans="2:13">
      <c r="B11" s="16">
        <v>4</v>
      </c>
      <c r="C11">
        <v>1</v>
      </c>
      <c r="D11" s="63" t="s">
        <v>83</v>
      </c>
      <c r="E11" s="62" t="s">
        <v>12</v>
      </c>
      <c r="F11" s="63" t="s">
        <v>84</v>
      </c>
      <c r="G11" s="4"/>
      <c r="H11" s="4"/>
      <c r="I11" s="3"/>
      <c r="J11" s="3"/>
      <c r="K11" s="5"/>
      <c r="L11" s="3"/>
      <c r="M11" s="17"/>
    </row>
    <row r="12" spans="2:13">
      <c r="B12" s="16">
        <v>5</v>
      </c>
      <c r="C12">
        <v>1</v>
      </c>
      <c r="D12" s="63" t="s">
        <v>85</v>
      </c>
      <c r="E12" s="62" t="s">
        <v>12</v>
      </c>
      <c r="F12" s="63" t="s">
        <v>86</v>
      </c>
      <c r="G12" s="4"/>
      <c r="H12" s="4"/>
      <c r="I12" s="3"/>
      <c r="J12" s="3"/>
      <c r="K12" s="5"/>
      <c r="L12" s="3"/>
      <c r="M12" s="17"/>
    </row>
    <row r="13" spans="2:13">
      <c r="B13" s="16">
        <v>6</v>
      </c>
      <c r="C13">
        <v>1</v>
      </c>
      <c r="D13" s="63" t="s">
        <v>87</v>
      </c>
      <c r="E13" s="3" t="s">
        <v>16</v>
      </c>
      <c r="F13" s="4">
        <v>16</v>
      </c>
      <c r="G13" s="4">
        <v>0</v>
      </c>
      <c r="H13" s="4">
        <v>2.7E-2</v>
      </c>
      <c r="I13" s="3">
        <f t="shared" si="0"/>
        <v>16</v>
      </c>
      <c r="J13" s="3">
        <f t="shared" si="1"/>
        <v>16.027000000000001</v>
      </c>
      <c r="K13" s="5"/>
      <c r="L13" s="3"/>
      <c r="M13" s="17"/>
    </row>
    <row r="14" spans="2:13">
      <c r="B14" s="16">
        <v>7</v>
      </c>
      <c r="C14">
        <v>1</v>
      </c>
      <c r="D14" s="63" t="s">
        <v>88</v>
      </c>
      <c r="E14" s="3" t="s">
        <v>16</v>
      </c>
      <c r="F14" s="4">
        <v>12</v>
      </c>
      <c r="G14" s="4">
        <v>-6.0000000000000001E-3</v>
      </c>
      <c r="H14" s="4">
        <v>-2.4E-2</v>
      </c>
      <c r="I14" s="3">
        <f t="shared" si="0"/>
        <v>11.994</v>
      </c>
      <c r="J14" s="3">
        <f t="shared" si="1"/>
        <v>11.976000000000001</v>
      </c>
      <c r="K14" s="5"/>
      <c r="L14" s="3"/>
      <c r="M14" s="17"/>
    </row>
    <row r="15" spans="2:13">
      <c r="B15" s="16">
        <v>8</v>
      </c>
      <c r="C15">
        <v>1</v>
      </c>
      <c r="D15" s="63" t="s">
        <v>89</v>
      </c>
      <c r="E15" s="3" t="s">
        <v>16</v>
      </c>
      <c r="F15" s="4">
        <v>17</v>
      </c>
      <c r="G15" s="4">
        <v>3.4000000000000002E-2</v>
      </c>
      <c r="H15" s="4">
        <v>1.6E-2</v>
      </c>
      <c r="I15" s="3">
        <f t="shared" si="0"/>
        <v>17.033999999999999</v>
      </c>
      <c r="J15" s="3">
        <f t="shared" si="1"/>
        <v>17.015999999999998</v>
      </c>
      <c r="K15" s="5"/>
      <c r="L15" s="3"/>
      <c r="M15" s="17"/>
    </row>
    <row r="16" spans="2:13">
      <c r="B16" s="16">
        <v>9</v>
      </c>
      <c r="C16">
        <v>1</v>
      </c>
      <c r="D16" s="63" t="s">
        <v>90</v>
      </c>
      <c r="E16" s="62" t="s">
        <v>16</v>
      </c>
      <c r="F16" s="4">
        <v>9</v>
      </c>
      <c r="G16" s="4">
        <v>-1.2999999999999999E-2</v>
      </c>
      <c r="H16" s="4">
        <v>-3.5000000000000003E-2</v>
      </c>
      <c r="I16" s="3">
        <f t="shared" si="0"/>
        <v>8.9870000000000001</v>
      </c>
      <c r="J16" s="3">
        <f t="shared" si="1"/>
        <v>8.9649999999999999</v>
      </c>
      <c r="K16" s="5"/>
      <c r="L16" s="3"/>
      <c r="M16" s="17"/>
    </row>
    <row r="17" spans="2:13">
      <c r="B17" s="16">
        <v>10</v>
      </c>
      <c r="C17">
        <v>1</v>
      </c>
      <c r="D17" s="63" t="s">
        <v>91</v>
      </c>
      <c r="E17" s="62" t="s">
        <v>16</v>
      </c>
      <c r="F17" s="4">
        <v>47</v>
      </c>
      <c r="G17" s="4">
        <v>-8.9999999999999993E-3</v>
      </c>
      <c r="H17" s="4">
        <v>-3.4000000000000002E-2</v>
      </c>
      <c r="I17" s="3">
        <f t="shared" si="0"/>
        <v>46.991</v>
      </c>
      <c r="J17" s="3">
        <f t="shared" si="1"/>
        <v>46.966000000000001</v>
      </c>
      <c r="K17" s="5"/>
      <c r="L17" s="3"/>
      <c r="M17" s="17"/>
    </row>
    <row r="18" spans="2:13">
      <c r="B18" s="16">
        <v>11</v>
      </c>
      <c r="C18">
        <v>1</v>
      </c>
      <c r="D18" s="63" t="s">
        <v>92</v>
      </c>
      <c r="E18" s="3" t="s">
        <v>16</v>
      </c>
      <c r="F18" s="4">
        <v>5</v>
      </c>
      <c r="G18" s="4">
        <v>1.2E-2</v>
      </c>
      <c r="H18" s="4">
        <v>0</v>
      </c>
      <c r="I18" s="3">
        <f t="shared" si="0"/>
        <v>5.0119999999999996</v>
      </c>
      <c r="J18" s="3">
        <f t="shared" si="1"/>
        <v>5</v>
      </c>
      <c r="K18" s="5"/>
      <c r="L18" s="3"/>
      <c r="M18" s="17"/>
    </row>
    <row r="19" spans="2:13">
      <c r="B19" s="16">
        <v>12</v>
      </c>
      <c r="C19">
        <v>1</v>
      </c>
      <c r="D19" s="63" t="s">
        <v>93</v>
      </c>
      <c r="E19" s="62" t="s">
        <v>11</v>
      </c>
      <c r="F19" s="4"/>
      <c r="G19" s="4">
        <v>0.02</v>
      </c>
      <c r="H19" s="4">
        <v>0</v>
      </c>
      <c r="I19" s="3">
        <f t="shared" si="0"/>
        <v>0.02</v>
      </c>
      <c r="J19" s="3">
        <f t="shared" si="1"/>
        <v>0</v>
      </c>
      <c r="K19" s="5"/>
      <c r="L19" s="3"/>
      <c r="M19" s="17"/>
    </row>
    <row r="20" spans="2:13">
      <c r="B20" s="16">
        <v>13</v>
      </c>
      <c r="C20">
        <v>1</v>
      </c>
      <c r="D20" s="63" t="s">
        <v>94</v>
      </c>
      <c r="E20" s="62" t="s">
        <v>16</v>
      </c>
      <c r="F20" s="4">
        <v>96</v>
      </c>
      <c r="G20" s="4">
        <v>-3.5999999999999997E-2</v>
      </c>
      <c r="H20" s="4">
        <v>-5.8000000000000003E-2</v>
      </c>
      <c r="I20" s="3">
        <f t="shared" si="0"/>
        <v>95.963999999999999</v>
      </c>
      <c r="J20" s="3">
        <f t="shared" si="1"/>
        <v>95.941999999999993</v>
      </c>
      <c r="K20" s="5"/>
      <c r="L20" s="3"/>
      <c r="M20" s="17"/>
    </row>
    <row r="21" spans="2:13">
      <c r="B21" s="16">
        <v>14</v>
      </c>
      <c r="C21">
        <v>1</v>
      </c>
      <c r="D21" s="63" t="s">
        <v>95</v>
      </c>
      <c r="E21" s="62" t="s">
        <v>16</v>
      </c>
      <c r="F21" s="4">
        <v>48</v>
      </c>
      <c r="G21" s="4">
        <v>0.05</v>
      </c>
      <c r="H21" s="4">
        <v>2.5000000000000001E-2</v>
      </c>
      <c r="I21" s="3">
        <f t="shared" si="0"/>
        <v>48.05</v>
      </c>
      <c r="J21" s="3">
        <f t="shared" si="1"/>
        <v>48.024999999999999</v>
      </c>
      <c r="K21" s="5"/>
      <c r="L21" s="3"/>
      <c r="M21" s="17"/>
    </row>
    <row r="22" spans="2:13">
      <c r="B22" s="16">
        <v>15</v>
      </c>
      <c r="C22">
        <v>1</v>
      </c>
      <c r="D22" s="63" t="s">
        <v>96</v>
      </c>
      <c r="E22" s="3" t="s">
        <v>16</v>
      </c>
      <c r="F22" s="4">
        <v>26</v>
      </c>
      <c r="G22" s="4">
        <v>4.1000000000000002E-2</v>
      </c>
      <c r="H22" s="4">
        <v>0.02</v>
      </c>
      <c r="I22" s="3">
        <f t="shared" si="0"/>
        <v>26.041</v>
      </c>
      <c r="J22" s="3">
        <f t="shared" si="1"/>
        <v>26.02</v>
      </c>
      <c r="K22" s="5"/>
      <c r="L22" s="3"/>
      <c r="M22" s="17"/>
    </row>
    <row r="23" spans="2:13">
      <c r="B23" s="16">
        <v>16</v>
      </c>
      <c r="C23">
        <v>1</v>
      </c>
      <c r="D23" s="63" t="s">
        <v>96</v>
      </c>
      <c r="E23" s="3" t="s">
        <v>16</v>
      </c>
      <c r="F23" s="4">
        <v>94</v>
      </c>
      <c r="G23" s="4">
        <v>-1.2E-2</v>
      </c>
      <c r="H23" s="4">
        <v>-3.4000000000000002E-2</v>
      </c>
      <c r="I23" s="3">
        <f t="shared" si="0"/>
        <v>93.988</v>
      </c>
      <c r="J23" s="3">
        <f t="shared" si="1"/>
        <v>93.965999999999994</v>
      </c>
      <c r="K23" s="5"/>
      <c r="L23" s="3"/>
      <c r="M23" s="17"/>
    </row>
    <row r="24" spans="2:13">
      <c r="B24" s="16">
        <v>17</v>
      </c>
      <c r="C24">
        <v>1</v>
      </c>
      <c r="D24" s="63" t="s">
        <v>97</v>
      </c>
      <c r="E24" s="3" t="s">
        <v>16</v>
      </c>
      <c r="F24" s="4">
        <v>100</v>
      </c>
      <c r="G24" s="4">
        <v>-3.5999999999999997E-2</v>
      </c>
      <c r="H24" s="4">
        <v>-5.8000000000000003E-2</v>
      </c>
      <c r="I24" s="3">
        <f>SUM(F24+G24)</f>
        <v>99.963999999999999</v>
      </c>
      <c r="J24" s="3">
        <f>SUM(F24+H24)</f>
        <v>99.941999999999993</v>
      </c>
      <c r="K24" s="5"/>
      <c r="L24" s="3"/>
      <c r="M24" s="17"/>
    </row>
    <row r="25" spans="2:13">
      <c r="B25" s="16">
        <v>18</v>
      </c>
      <c r="C25">
        <v>1</v>
      </c>
      <c r="D25" s="63" t="s">
        <v>98</v>
      </c>
      <c r="E25" s="3" t="s">
        <v>16</v>
      </c>
      <c r="F25" s="4">
        <v>94</v>
      </c>
      <c r="G25" s="4">
        <v>3.5000000000000003E-2</v>
      </c>
      <c r="H25" s="4">
        <v>0</v>
      </c>
      <c r="I25" s="3">
        <f t="shared" si="0"/>
        <v>94.034999999999997</v>
      </c>
      <c r="J25" s="3">
        <f t="shared" si="1"/>
        <v>94</v>
      </c>
      <c r="K25" s="5"/>
      <c r="L25" s="3"/>
      <c r="M25" s="17"/>
    </row>
    <row r="26" spans="2:13">
      <c r="B26" s="16">
        <v>19</v>
      </c>
      <c r="C26">
        <v>1</v>
      </c>
      <c r="D26" s="63" t="s">
        <v>98</v>
      </c>
      <c r="E26" s="62" t="s">
        <v>16</v>
      </c>
      <c r="F26" s="4">
        <v>48</v>
      </c>
      <c r="G26" s="4">
        <v>2.5000000000000001E-2</v>
      </c>
      <c r="H26" s="4">
        <v>0</v>
      </c>
      <c r="I26" s="3">
        <f t="shared" si="0"/>
        <v>48.024999999999999</v>
      </c>
      <c r="J26" s="3">
        <f t="shared" si="1"/>
        <v>48</v>
      </c>
      <c r="K26" s="5"/>
      <c r="L26" s="3"/>
      <c r="M26" s="17"/>
    </row>
    <row r="27" spans="2:13">
      <c r="B27" s="16">
        <v>20</v>
      </c>
      <c r="C27">
        <v>1</v>
      </c>
      <c r="D27" s="63" t="s">
        <v>98</v>
      </c>
      <c r="E27" s="3" t="s">
        <v>16</v>
      </c>
      <c r="F27" s="4">
        <v>24</v>
      </c>
      <c r="G27" s="4">
        <v>0</v>
      </c>
      <c r="H27" s="4">
        <v>-2.1000000000000001E-2</v>
      </c>
      <c r="I27" s="3">
        <f t="shared" si="0"/>
        <v>24</v>
      </c>
      <c r="J27" s="3">
        <f t="shared" si="1"/>
        <v>23.978999999999999</v>
      </c>
      <c r="K27" s="5"/>
      <c r="L27" s="3"/>
      <c r="M27" s="17"/>
    </row>
    <row r="28" spans="2:13">
      <c r="B28" s="16">
        <v>21</v>
      </c>
      <c r="C28">
        <v>1</v>
      </c>
      <c r="D28" s="63" t="s">
        <v>99</v>
      </c>
      <c r="E28" s="3" t="s">
        <v>16</v>
      </c>
      <c r="F28" s="4">
        <v>100</v>
      </c>
      <c r="G28" s="4">
        <v>3.4000000000000002E-2</v>
      </c>
      <c r="H28" s="4">
        <v>1.2E-2</v>
      </c>
      <c r="I28" s="3">
        <f t="shared" si="0"/>
        <v>100.03400000000001</v>
      </c>
      <c r="J28" s="3">
        <f t="shared" si="1"/>
        <v>100.012</v>
      </c>
      <c r="K28" s="5"/>
      <c r="L28" s="3"/>
      <c r="M28" s="17"/>
    </row>
    <row r="29" spans="2:13">
      <c r="B29" s="16">
        <v>22</v>
      </c>
      <c r="C29">
        <v>1</v>
      </c>
      <c r="D29" s="63" t="s">
        <v>92</v>
      </c>
      <c r="E29" s="62" t="s">
        <v>16</v>
      </c>
      <c r="F29" s="4">
        <v>50</v>
      </c>
      <c r="G29" s="4">
        <v>0.05</v>
      </c>
      <c r="H29" s="4">
        <v>2.5000000000000001E-2</v>
      </c>
      <c r="I29" s="3">
        <f>SUM(G29)</f>
        <v>0.05</v>
      </c>
      <c r="J29" s="3">
        <f>SUM(H29)</f>
        <v>2.5000000000000001E-2</v>
      </c>
      <c r="K29" s="5"/>
      <c r="L29" s="3"/>
      <c r="M29" s="17"/>
    </row>
    <row r="30" spans="2:13">
      <c r="B30" s="16">
        <v>23</v>
      </c>
      <c r="C30">
        <v>1</v>
      </c>
      <c r="D30" s="63" t="s">
        <v>100</v>
      </c>
      <c r="E30" s="3" t="s">
        <v>16</v>
      </c>
      <c r="F30" s="4">
        <v>22</v>
      </c>
      <c r="G30" s="4">
        <v>4.1000000000000002E-2</v>
      </c>
      <c r="H30" s="4">
        <v>0.02</v>
      </c>
      <c r="I30" s="3">
        <f t="shared" si="0"/>
        <v>22.041</v>
      </c>
      <c r="J30" s="3">
        <f t="shared" si="1"/>
        <v>22.02</v>
      </c>
      <c r="K30" s="5"/>
      <c r="L30" s="3"/>
      <c r="M30" s="17"/>
    </row>
    <row r="31" spans="2:13">
      <c r="B31" s="16">
        <v>24</v>
      </c>
      <c r="C31">
        <v>1</v>
      </c>
      <c r="D31" s="63" t="s">
        <v>101</v>
      </c>
      <c r="E31" s="3" t="s">
        <v>16</v>
      </c>
      <c r="F31" s="4">
        <v>24</v>
      </c>
      <c r="G31" s="4">
        <v>-0.02</v>
      </c>
      <c r="H31" s="4">
        <v>-4.1000000000000002E-2</v>
      </c>
      <c r="I31" s="3">
        <f t="shared" si="0"/>
        <v>23.98</v>
      </c>
      <c r="J31" s="3">
        <f t="shared" si="1"/>
        <v>23.959</v>
      </c>
      <c r="K31" s="5"/>
      <c r="L31" s="3"/>
      <c r="M31" s="17"/>
    </row>
    <row r="32" spans="2:13">
      <c r="B32" s="16">
        <v>25</v>
      </c>
      <c r="C32">
        <v>1</v>
      </c>
      <c r="D32" s="63" t="s">
        <v>102</v>
      </c>
      <c r="E32" s="3" t="s">
        <v>16</v>
      </c>
      <c r="F32" s="4">
        <v>22</v>
      </c>
      <c r="G32" s="4">
        <v>-0.02</v>
      </c>
      <c r="H32" s="4">
        <v>-4.1000000000000002E-2</v>
      </c>
      <c r="I32" s="3">
        <f t="shared" si="0"/>
        <v>21.98</v>
      </c>
      <c r="J32" s="3">
        <f t="shared" si="1"/>
        <v>21.959</v>
      </c>
      <c r="K32" s="5"/>
      <c r="L32" s="3"/>
      <c r="M32" s="17"/>
    </row>
    <row r="33" spans="2:13">
      <c r="B33" s="16">
        <v>26</v>
      </c>
      <c r="C33">
        <v>1</v>
      </c>
      <c r="D33" s="63" t="s">
        <v>103</v>
      </c>
      <c r="E33" s="3" t="s">
        <v>16</v>
      </c>
      <c r="F33" s="4">
        <v>24</v>
      </c>
      <c r="G33" s="4">
        <v>2.1000000000000001E-2</v>
      </c>
      <c r="H33" s="4">
        <v>0</v>
      </c>
      <c r="I33" s="3">
        <f t="shared" si="0"/>
        <v>24.021000000000001</v>
      </c>
      <c r="J33" s="3">
        <f t="shared" si="1"/>
        <v>24</v>
      </c>
      <c r="K33" s="5"/>
      <c r="L33" s="3"/>
      <c r="M33" s="17"/>
    </row>
    <row r="34" spans="2:13" ht="14.25" thickBot="1">
      <c r="B34" s="16">
        <v>27</v>
      </c>
      <c r="C34">
        <v>1</v>
      </c>
      <c r="D34" s="63" t="s">
        <v>103</v>
      </c>
      <c r="E34" s="3" t="s">
        <v>16</v>
      </c>
      <c r="F34" s="4">
        <v>10</v>
      </c>
      <c r="G34" s="4">
        <v>-1.2999999999999999E-2</v>
      </c>
      <c r="H34" s="4">
        <v>-2.8000000000000001E-2</v>
      </c>
      <c r="I34" s="3">
        <f t="shared" si="0"/>
        <v>9.9870000000000001</v>
      </c>
      <c r="J34" s="3">
        <f t="shared" si="1"/>
        <v>9.9719999999999995</v>
      </c>
      <c r="K34" s="5"/>
      <c r="L34" s="3"/>
      <c r="M34" s="17"/>
    </row>
    <row r="35" spans="2:13" ht="14.25" thickBot="1">
      <c r="B35" s="34" t="s">
        <v>39</v>
      </c>
      <c r="C35" s="35">
        <f>SUM(C8:C34)</f>
        <v>27</v>
      </c>
      <c r="D35" s="35"/>
      <c r="E35" s="35"/>
      <c r="F35" s="35"/>
      <c r="G35" s="35"/>
      <c r="H35" s="35"/>
      <c r="I35" s="35"/>
      <c r="J35" s="35"/>
      <c r="K35" s="36"/>
      <c r="L35" s="36"/>
      <c r="M35" s="37"/>
    </row>
    <row r="36" spans="2:13" ht="14.25" thickBot="1">
      <c r="B36" s="29"/>
      <c r="C36" s="11"/>
      <c r="D36" s="11"/>
      <c r="E36" s="11"/>
      <c r="F36" s="11"/>
      <c r="G36" s="11"/>
      <c r="H36" s="11"/>
      <c r="I36" s="11"/>
      <c r="J36" s="11"/>
      <c r="K36" s="28"/>
      <c r="L36" s="28"/>
      <c r="M36" s="11"/>
    </row>
    <row r="37" spans="2:13">
      <c r="B37" s="59" t="s">
        <v>23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</row>
    <row r="38" spans="2:13">
      <c r="B38" s="16">
        <v>1</v>
      </c>
      <c r="C38">
        <v>0.5</v>
      </c>
      <c r="D38" s="1" t="s">
        <v>78</v>
      </c>
      <c r="E38" s="62" t="s">
        <v>16</v>
      </c>
      <c r="F38" s="3">
        <v>89</v>
      </c>
      <c r="G38" s="62">
        <v>0.1</v>
      </c>
      <c r="H38" s="62">
        <v>-0.1</v>
      </c>
      <c r="I38" s="3">
        <v>89.1</v>
      </c>
      <c r="J38" s="3">
        <v>88.9</v>
      </c>
      <c r="K38" s="5"/>
      <c r="L38" s="3">
        <f>IF(K38=I38,(IF(K38&lt;&gt;J38,C38,0)),0)</f>
        <v>0</v>
      </c>
      <c r="M38" s="17"/>
    </row>
    <row r="39" spans="2:13">
      <c r="B39" s="16">
        <v>2</v>
      </c>
      <c r="C39">
        <v>0.5</v>
      </c>
      <c r="D39" s="1" t="s">
        <v>85</v>
      </c>
      <c r="E39" s="62" t="s">
        <v>16</v>
      </c>
      <c r="F39" s="3">
        <v>73</v>
      </c>
      <c r="G39" s="62">
        <v>0.1</v>
      </c>
      <c r="H39" s="62">
        <v>-0.1</v>
      </c>
      <c r="I39" s="3">
        <v>73.099999999999994</v>
      </c>
      <c r="J39" s="3">
        <v>72.900000000000006</v>
      </c>
      <c r="K39" s="5"/>
      <c r="L39" s="3">
        <f>IF(K39=I39,(IF(K39&lt;&gt;J39,C39,0)),0)</f>
        <v>0</v>
      </c>
      <c r="M39" s="17"/>
    </row>
    <row r="40" spans="2:13">
      <c r="B40" s="16">
        <v>3</v>
      </c>
      <c r="C40">
        <v>0.5</v>
      </c>
      <c r="D40" s="1" t="s">
        <v>85</v>
      </c>
      <c r="E40" s="62" t="s">
        <v>16</v>
      </c>
      <c r="F40" s="3">
        <v>37</v>
      </c>
      <c r="G40" s="62">
        <v>0.1</v>
      </c>
      <c r="H40" s="62">
        <v>-0.1</v>
      </c>
      <c r="I40" s="3">
        <v>37.1</v>
      </c>
      <c r="J40" s="3">
        <v>36.9</v>
      </c>
      <c r="K40" s="5"/>
      <c r="L40" s="3">
        <f>IF(K40=I40,(IF(K40&lt;&gt;J40,C40,0)),0)</f>
        <v>0</v>
      </c>
      <c r="M40" s="17"/>
    </row>
    <row r="41" spans="2:13">
      <c r="B41" s="16">
        <v>4</v>
      </c>
      <c r="C41">
        <v>0.5</v>
      </c>
      <c r="D41" s="2" t="s">
        <v>104</v>
      </c>
      <c r="E41" s="62" t="s">
        <v>16</v>
      </c>
      <c r="F41" s="3">
        <v>49</v>
      </c>
      <c r="G41" s="62">
        <v>0.1</v>
      </c>
      <c r="H41" s="62">
        <v>-0.1</v>
      </c>
      <c r="I41" s="3">
        <v>49.1</v>
      </c>
      <c r="J41" s="3">
        <v>39.9</v>
      </c>
      <c r="K41" s="5"/>
      <c r="L41" s="3">
        <f>IF(K41=I41,(IF(K41&lt;&gt;J41,C41,0)),0)</f>
        <v>0</v>
      </c>
      <c r="M41" s="17"/>
    </row>
    <row r="42" spans="2:13">
      <c r="B42" s="16">
        <v>5</v>
      </c>
      <c r="C42">
        <v>0.5</v>
      </c>
      <c r="D42" s="1" t="s">
        <v>79</v>
      </c>
      <c r="E42" s="62" t="s">
        <v>10</v>
      </c>
      <c r="F42" s="3">
        <v>70</v>
      </c>
      <c r="G42" s="3">
        <v>0.1</v>
      </c>
      <c r="H42" s="3">
        <v>-0.1</v>
      </c>
      <c r="I42" s="3">
        <v>70.099999999999994</v>
      </c>
      <c r="J42" s="3">
        <f t="shared" ref="J42:J59" si="2">SUM(F42+H42)</f>
        <v>69.900000000000006</v>
      </c>
      <c r="K42" s="5"/>
      <c r="L42" s="3">
        <f t="shared" ref="L42:L60" si="3">IF(K42&gt;=(J42-M42),(IF(K42&lt;=(I42+M42),C42,0)),0)</f>
        <v>0</v>
      </c>
      <c r="M42" s="17"/>
    </row>
    <row r="43" spans="2:13">
      <c r="B43" s="16">
        <v>6</v>
      </c>
      <c r="C43">
        <v>0.5</v>
      </c>
      <c r="D43" s="2" t="s">
        <v>81</v>
      </c>
      <c r="E43" s="3" t="s">
        <v>16</v>
      </c>
      <c r="F43" s="3">
        <v>41</v>
      </c>
      <c r="G43" s="3">
        <v>0.1</v>
      </c>
      <c r="H43" s="3">
        <v>-0.1</v>
      </c>
      <c r="I43" s="3">
        <f t="shared" ref="I43:I59" si="4">SUM(F43+G43)</f>
        <v>41.1</v>
      </c>
      <c r="J43" s="3">
        <f t="shared" si="2"/>
        <v>40.9</v>
      </c>
      <c r="K43" s="5"/>
      <c r="L43" s="3">
        <f t="shared" si="3"/>
        <v>0</v>
      </c>
      <c r="M43" s="17"/>
    </row>
    <row r="44" spans="2:13">
      <c r="B44" s="16">
        <v>7</v>
      </c>
      <c r="C44">
        <v>0.5</v>
      </c>
      <c r="D44" s="1" t="s">
        <v>81</v>
      </c>
      <c r="E44" s="3" t="s">
        <v>16</v>
      </c>
      <c r="F44" s="3">
        <v>134</v>
      </c>
      <c r="G44" s="3">
        <v>0.1</v>
      </c>
      <c r="H44" s="3">
        <v>-0.1</v>
      </c>
      <c r="I44" s="3">
        <f t="shared" si="4"/>
        <v>134.1</v>
      </c>
      <c r="J44" s="3">
        <f t="shared" si="2"/>
        <v>133.9</v>
      </c>
      <c r="K44" s="5"/>
      <c r="L44" s="3">
        <f t="shared" si="3"/>
        <v>0</v>
      </c>
      <c r="M44" s="17"/>
    </row>
    <row r="45" spans="2:13">
      <c r="B45" s="16">
        <v>8</v>
      </c>
      <c r="C45">
        <v>0.5</v>
      </c>
      <c r="D45" s="1" t="s">
        <v>81</v>
      </c>
      <c r="E45" s="3" t="s">
        <v>16</v>
      </c>
      <c r="F45" s="3">
        <v>120</v>
      </c>
      <c r="G45" s="3">
        <v>0.1</v>
      </c>
      <c r="H45" s="3">
        <v>-0.1</v>
      </c>
      <c r="I45" s="3">
        <f t="shared" si="4"/>
        <v>120.1</v>
      </c>
      <c r="J45" s="3">
        <f t="shared" si="2"/>
        <v>119.9</v>
      </c>
      <c r="K45" s="5"/>
      <c r="L45" s="3">
        <f t="shared" si="3"/>
        <v>0</v>
      </c>
      <c r="M45" s="17"/>
    </row>
    <row r="46" spans="2:13">
      <c r="B46" s="16">
        <v>9</v>
      </c>
      <c r="C46">
        <v>0.5</v>
      </c>
      <c r="D46" s="1" t="s">
        <v>81</v>
      </c>
      <c r="E46" s="3" t="s">
        <v>16</v>
      </c>
      <c r="F46" s="3">
        <v>6</v>
      </c>
      <c r="G46" s="3">
        <v>0.1</v>
      </c>
      <c r="H46" s="3">
        <v>-0.1</v>
      </c>
      <c r="I46" s="3">
        <f t="shared" si="4"/>
        <v>6.1</v>
      </c>
      <c r="J46" s="3">
        <f t="shared" si="2"/>
        <v>5.9</v>
      </c>
      <c r="K46" s="5"/>
      <c r="L46" s="3">
        <f t="shared" si="3"/>
        <v>0</v>
      </c>
      <c r="M46" s="17"/>
    </row>
    <row r="47" spans="2:13">
      <c r="B47" s="16">
        <v>10</v>
      </c>
      <c r="C47">
        <v>0.5</v>
      </c>
      <c r="D47" s="1" t="s">
        <v>105</v>
      </c>
      <c r="E47" s="62" t="s">
        <v>16</v>
      </c>
      <c r="F47" s="3">
        <v>11</v>
      </c>
      <c r="G47" s="3">
        <v>0.1</v>
      </c>
      <c r="H47" s="3">
        <v>-0.1</v>
      </c>
      <c r="I47" s="3">
        <f t="shared" si="4"/>
        <v>11.1</v>
      </c>
      <c r="J47" s="3">
        <f t="shared" si="2"/>
        <v>10.9</v>
      </c>
      <c r="K47" s="5"/>
      <c r="L47" s="3">
        <f t="shared" si="3"/>
        <v>0</v>
      </c>
      <c r="M47" s="17"/>
    </row>
    <row r="48" spans="2:13">
      <c r="B48" s="16">
        <v>11</v>
      </c>
      <c r="C48">
        <v>0.5</v>
      </c>
      <c r="D48" s="1" t="s">
        <v>106</v>
      </c>
      <c r="E48" s="3" t="s">
        <v>16</v>
      </c>
      <c r="F48" s="3">
        <v>72</v>
      </c>
      <c r="G48" s="3">
        <v>0.1</v>
      </c>
      <c r="H48" s="3">
        <v>-0.1</v>
      </c>
      <c r="I48" s="3">
        <f t="shared" si="4"/>
        <v>72.099999999999994</v>
      </c>
      <c r="J48" s="3">
        <f t="shared" si="2"/>
        <v>71.900000000000006</v>
      </c>
      <c r="K48" s="5"/>
      <c r="L48" s="3">
        <f t="shared" si="3"/>
        <v>0</v>
      </c>
      <c r="M48" s="17"/>
    </row>
    <row r="49" spans="2:13">
      <c r="B49" s="16">
        <v>12</v>
      </c>
      <c r="C49">
        <v>0.5</v>
      </c>
      <c r="D49" s="2" t="s">
        <v>87</v>
      </c>
      <c r="E49" s="65" t="s">
        <v>107</v>
      </c>
      <c r="F49" s="3">
        <v>120</v>
      </c>
      <c r="G49" s="3">
        <v>0.5</v>
      </c>
      <c r="H49" s="3">
        <v>-0.5</v>
      </c>
      <c r="I49" s="3">
        <f t="shared" si="4"/>
        <v>120.5</v>
      </c>
      <c r="J49" s="3">
        <f t="shared" si="2"/>
        <v>119.5</v>
      </c>
      <c r="K49" s="5"/>
      <c r="L49" s="3">
        <f t="shared" si="3"/>
        <v>0</v>
      </c>
      <c r="M49" s="17"/>
    </row>
    <row r="50" spans="2:13">
      <c r="B50" s="16">
        <v>13</v>
      </c>
      <c r="C50">
        <v>0.25</v>
      </c>
      <c r="D50" s="2" t="s">
        <v>108</v>
      </c>
      <c r="E50" s="65" t="s">
        <v>109</v>
      </c>
      <c r="F50" s="3">
        <v>16</v>
      </c>
      <c r="G50" s="3">
        <v>0.1</v>
      </c>
      <c r="H50" s="3">
        <v>-0.1</v>
      </c>
      <c r="I50" s="3">
        <f t="shared" si="4"/>
        <v>16.100000000000001</v>
      </c>
      <c r="J50" s="3">
        <f t="shared" si="2"/>
        <v>15.9</v>
      </c>
      <c r="K50" s="5"/>
      <c r="L50" s="3">
        <f t="shared" si="3"/>
        <v>0</v>
      </c>
      <c r="M50" s="17"/>
    </row>
    <row r="51" spans="2:13">
      <c r="B51" s="16">
        <v>14</v>
      </c>
      <c r="C51">
        <v>0.5</v>
      </c>
      <c r="D51" s="1" t="s">
        <v>108</v>
      </c>
      <c r="E51" s="3" t="s">
        <v>16</v>
      </c>
      <c r="F51" s="3">
        <v>4</v>
      </c>
      <c r="G51" s="3">
        <v>0.1</v>
      </c>
      <c r="H51" s="3">
        <v>-0.1</v>
      </c>
      <c r="I51" s="3">
        <f t="shared" si="4"/>
        <v>4.0999999999999996</v>
      </c>
      <c r="J51" s="3">
        <f t="shared" si="2"/>
        <v>3.9</v>
      </c>
      <c r="K51" s="5"/>
      <c r="L51" s="3">
        <f t="shared" si="3"/>
        <v>0</v>
      </c>
      <c r="M51" s="17"/>
    </row>
    <row r="52" spans="2:13">
      <c r="B52" s="16">
        <v>15</v>
      </c>
      <c r="C52">
        <v>0.25</v>
      </c>
      <c r="D52" s="1" t="s">
        <v>110</v>
      </c>
      <c r="E52" s="65" t="s">
        <v>109</v>
      </c>
      <c r="F52" s="3">
        <v>33</v>
      </c>
      <c r="G52" s="3">
        <v>0.1</v>
      </c>
      <c r="H52" s="3">
        <v>-0.1</v>
      </c>
      <c r="I52" s="3">
        <f t="shared" si="4"/>
        <v>33.1</v>
      </c>
      <c r="J52" s="3">
        <f t="shared" si="2"/>
        <v>32.9</v>
      </c>
      <c r="K52" s="5"/>
      <c r="L52" s="3">
        <f t="shared" si="3"/>
        <v>0</v>
      </c>
      <c r="M52" s="17"/>
    </row>
    <row r="53" spans="2:13">
      <c r="B53" s="16">
        <v>16</v>
      </c>
      <c r="C53">
        <v>0.25</v>
      </c>
      <c r="D53" s="1" t="s">
        <v>111</v>
      </c>
      <c r="E53" s="65" t="s">
        <v>109</v>
      </c>
      <c r="F53" s="3">
        <v>47</v>
      </c>
      <c r="G53" s="3">
        <v>0.1</v>
      </c>
      <c r="H53" s="3">
        <v>-0.1</v>
      </c>
      <c r="I53" s="3">
        <f t="shared" si="4"/>
        <v>47.1</v>
      </c>
      <c r="J53" s="3">
        <f t="shared" si="2"/>
        <v>46.9</v>
      </c>
      <c r="K53" s="5"/>
      <c r="L53" s="3">
        <f t="shared" si="3"/>
        <v>0</v>
      </c>
      <c r="M53" s="17"/>
    </row>
    <row r="54" spans="2:13">
      <c r="B54" s="16">
        <v>17</v>
      </c>
      <c r="C54">
        <v>0.5</v>
      </c>
      <c r="D54" s="1" t="s">
        <v>89</v>
      </c>
      <c r="E54" s="3" t="s">
        <v>16</v>
      </c>
      <c r="F54" s="3">
        <v>13</v>
      </c>
      <c r="G54" s="3">
        <v>0.1</v>
      </c>
      <c r="H54" s="3">
        <v>-0.1</v>
      </c>
      <c r="I54" s="3">
        <f t="shared" si="4"/>
        <v>13.1</v>
      </c>
      <c r="J54" s="3">
        <f t="shared" si="2"/>
        <v>12.9</v>
      </c>
      <c r="K54" s="5"/>
      <c r="L54" s="3">
        <f t="shared" si="3"/>
        <v>0</v>
      </c>
      <c r="M54" s="17"/>
    </row>
    <row r="55" spans="2:13">
      <c r="B55" s="16">
        <v>18</v>
      </c>
      <c r="C55">
        <v>0.5</v>
      </c>
      <c r="D55" s="1" t="s">
        <v>99</v>
      </c>
      <c r="E55" s="3" t="s">
        <v>16</v>
      </c>
      <c r="F55" s="3">
        <v>5</v>
      </c>
      <c r="G55" s="3">
        <v>0.1</v>
      </c>
      <c r="H55" s="3">
        <v>-0.1</v>
      </c>
      <c r="I55" s="3">
        <f t="shared" si="4"/>
        <v>5.0999999999999996</v>
      </c>
      <c r="J55" s="3">
        <f t="shared" si="2"/>
        <v>4.9000000000000004</v>
      </c>
      <c r="K55" s="5"/>
      <c r="L55" s="3">
        <f t="shared" si="3"/>
        <v>0</v>
      </c>
      <c r="M55" s="17"/>
    </row>
    <row r="56" spans="2:13">
      <c r="B56" s="16">
        <v>19</v>
      </c>
      <c r="C56">
        <v>0.25</v>
      </c>
      <c r="D56" s="1" t="s">
        <v>90</v>
      </c>
      <c r="E56" s="65" t="s">
        <v>107</v>
      </c>
      <c r="F56" s="3">
        <v>80</v>
      </c>
      <c r="G56" s="3">
        <v>0.5</v>
      </c>
      <c r="H56" s="3">
        <v>-0.5</v>
      </c>
      <c r="I56" s="3">
        <f t="shared" si="4"/>
        <v>80.5</v>
      </c>
      <c r="J56" s="3">
        <f t="shared" si="2"/>
        <v>79.5</v>
      </c>
      <c r="K56" s="5"/>
      <c r="L56" s="3">
        <f t="shared" si="3"/>
        <v>0</v>
      </c>
      <c r="M56" s="17"/>
    </row>
    <row r="57" spans="2:13">
      <c r="B57" s="16">
        <v>20</v>
      </c>
      <c r="C57">
        <v>0.5</v>
      </c>
      <c r="D57" s="1" t="s">
        <v>92</v>
      </c>
      <c r="E57" s="3" t="s">
        <v>16</v>
      </c>
      <c r="F57" s="3">
        <v>73</v>
      </c>
      <c r="G57" s="3">
        <v>0.1</v>
      </c>
      <c r="H57" s="3">
        <v>-0.1</v>
      </c>
      <c r="I57" s="3">
        <f t="shared" si="4"/>
        <v>73.099999999999994</v>
      </c>
      <c r="J57" s="3">
        <f t="shared" si="2"/>
        <v>72.900000000000006</v>
      </c>
      <c r="K57" s="5"/>
      <c r="L57" s="3">
        <f t="shared" si="3"/>
        <v>0</v>
      </c>
      <c r="M57" s="17"/>
    </row>
    <row r="58" spans="2:13">
      <c r="B58" s="16">
        <v>21</v>
      </c>
      <c r="C58">
        <v>0.5</v>
      </c>
      <c r="D58" s="1" t="s">
        <v>94</v>
      </c>
      <c r="E58" s="3" t="s">
        <v>16</v>
      </c>
      <c r="F58" s="3">
        <v>48</v>
      </c>
      <c r="G58" s="3">
        <v>0.1</v>
      </c>
      <c r="H58" s="3">
        <v>-0.1</v>
      </c>
      <c r="I58" s="3">
        <f t="shared" si="4"/>
        <v>48.1</v>
      </c>
      <c r="J58" s="3">
        <f t="shared" si="2"/>
        <v>47.9</v>
      </c>
      <c r="K58" s="5"/>
      <c r="L58" s="3">
        <f t="shared" si="3"/>
        <v>0</v>
      </c>
      <c r="M58" s="17"/>
    </row>
    <row r="59" spans="2:13">
      <c r="B59" s="16">
        <v>22</v>
      </c>
      <c r="C59">
        <v>0.5</v>
      </c>
      <c r="D59" s="1" t="s">
        <v>96</v>
      </c>
      <c r="E59" s="3" t="s">
        <v>16</v>
      </c>
      <c r="F59" s="3">
        <v>146</v>
      </c>
      <c r="G59" s="3">
        <v>0.1</v>
      </c>
      <c r="H59" s="3">
        <v>-0.1</v>
      </c>
      <c r="I59" s="3">
        <f t="shared" si="4"/>
        <v>146.1</v>
      </c>
      <c r="J59" s="3">
        <f t="shared" si="2"/>
        <v>145.9</v>
      </c>
      <c r="K59" s="5"/>
      <c r="L59" s="3">
        <f t="shared" si="3"/>
        <v>0</v>
      </c>
      <c r="M59" s="17"/>
    </row>
    <row r="60" spans="2:13" ht="14.25" thickBot="1">
      <c r="B60" s="25">
        <v>23</v>
      </c>
      <c r="C60">
        <v>0.5</v>
      </c>
      <c r="D60" s="1" t="s">
        <v>97</v>
      </c>
      <c r="E60" s="3" t="s">
        <v>16</v>
      </c>
      <c r="F60" s="62" t="s">
        <v>112</v>
      </c>
      <c r="G60" s="3">
        <v>0.1</v>
      </c>
      <c r="H60" s="3">
        <v>-0.1</v>
      </c>
      <c r="I60" s="8">
        <v>60.1</v>
      </c>
      <c r="J60" s="8">
        <v>59.9</v>
      </c>
      <c r="K60" s="9"/>
      <c r="L60" s="8">
        <f t="shared" si="3"/>
        <v>0</v>
      </c>
      <c r="M60" s="30"/>
    </row>
    <row r="61" spans="2:13" ht="14.25" thickBot="1">
      <c r="B61" s="34" t="s">
        <v>39</v>
      </c>
      <c r="C61" s="35">
        <f>SUM(C38:C60)</f>
        <v>10.5</v>
      </c>
      <c r="D61" s="35"/>
      <c r="E61" s="35"/>
      <c r="F61" s="35"/>
      <c r="G61" s="35"/>
      <c r="H61" s="35"/>
      <c r="I61" s="35"/>
      <c r="J61" s="35"/>
      <c r="K61" s="36"/>
      <c r="L61" s="35">
        <f>SUM(L38:L60)</f>
        <v>0</v>
      </c>
      <c r="M61" s="37"/>
    </row>
    <row r="62" spans="2:13" ht="14.25" thickBot="1">
      <c r="B62" s="29"/>
      <c r="C62" s="11"/>
      <c r="D62" s="11"/>
      <c r="E62" s="11"/>
      <c r="F62" s="11"/>
      <c r="G62" s="11"/>
      <c r="H62" s="11"/>
      <c r="I62" s="11"/>
      <c r="J62" s="11"/>
      <c r="K62" s="28"/>
      <c r="L62" s="11"/>
      <c r="M62" s="11"/>
    </row>
    <row r="63" spans="2:13">
      <c r="B63" s="59" t="s">
        <v>24</v>
      </c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1"/>
    </row>
    <row r="64" spans="2:13">
      <c r="B64" s="16">
        <v>1</v>
      </c>
      <c r="C64">
        <v>1</v>
      </c>
      <c r="D64" s="62" t="s">
        <v>113</v>
      </c>
      <c r="E64" s="3" t="s">
        <v>13</v>
      </c>
      <c r="F64" s="62" t="s">
        <v>114</v>
      </c>
      <c r="G64" s="3">
        <v>0.8</v>
      </c>
      <c r="H64" s="6">
        <v>1E-8</v>
      </c>
      <c r="I64" s="3">
        <f t="shared" ref="I64:I68" si="5">SUM(G64)</f>
        <v>0.8</v>
      </c>
      <c r="J64" s="6">
        <f t="shared" ref="J64:J68" si="6">SUM(H64)</f>
        <v>1E-8</v>
      </c>
      <c r="K64" s="5"/>
      <c r="L64" s="3">
        <f t="shared" ref="L64:L68" si="7">IF(K64&gt;=(J64-M64),(IF(K64&lt;=(I64+M64),C64,0)),0)</f>
        <v>0</v>
      </c>
      <c r="M64" s="17"/>
    </row>
    <row r="65" spans="2:13">
      <c r="B65" s="16">
        <v>2</v>
      </c>
      <c r="C65">
        <v>1</v>
      </c>
      <c r="D65" s="62" t="s">
        <v>82</v>
      </c>
      <c r="E65" s="3" t="s">
        <v>13</v>
      </c>
      <c r="F65" s="62" t="s">
        <v>114</v>
      </c>
      <c r="G65" s="3">
        <v>0.8</v>
      </c>
      <c r="H65" s="6">
        <v>1E-8</v>
      </c>
      <c r="I65" s="3">
        <f t="shared" si="5"/>
        <v>0.8</v>
      </c>
      <c r="J65" s="6">
        <f t="shared" si="6"/>
        <v>1E-8</v>
      </c>
      <c r="K65" s="5"/>
      <c r="L65" s="3">
        <f t="shared" si="7"/>
        <v>0</v>
      </c>
      <c r="M65" s="17"/>
    </row>
    <row r="66" spans="2:13">
      <c r="B66" s="16">
        <v>3</v>
      </c>
      <c r="C66">
        <v>0.5</v>
      </c>
      <c r="D66" s="62" t="s">
        <v>89</v>
      </c>
      <c r="E66" s="3" t="s">
        <v>13</v>
      </c>
      <c r="F66" s="62" t="s">
        <v>115</v>
      </c>
      <c r="G66" s="3">
        <v>0.8</v>
      </c>
      <c r="H66" s="6">
        <v>1E-8</v>
      </c>
      <c r="I66" s="3">
        <f t="shared" si="5"/>
        <v>0.8</v>
      </c>
      <c r="J66" s="6">
        <f t="shared" si="6"/>
        <v>1E-8</v>
      </c>
      <c r="K66" s="5"/>
      <c r="L66" s="3">
        <f t="shared" si="7"/>
        <v>0</v>
      </c>
      <c r="M66" s="17"/>
    </row>
    <row r="67" spans="2:13">
      <c r="B67" s="16">
        <v>4</v>
      </c>
      <c r="C67">
        <v>1</v>
      </c>
      <c r="D67" s="62" t="s">
        <v>96</v>
      </c>
      <c r="E67" s="3" t="s">
        <v>13</v>
      </c>
      <c r="F67" s="62" t="s">
        <v>114</v>
      </c>
      <c r="G67" s="3">
        <v>0.8</v>
      </c>
      <c r="H67" s="6">
        <v>1E-8</v>
      </c>
      <c r="I67" s="3">
        <f t="shared" si="5"/>
        <v>0.8</v>
      </c>
      <c r="J67" s="6">
        <f t="shared" si="6"/>
        <v>1E-8</v>
      </c>
      <c r="K67" s="5"/>
      <c r="L67" s="3">
        <f t="shared" si="7"/>
        <v>0</v>
      </c>
      <c r="M67" s="17"/>
    </row>
    <row r="68" spans="2:13">
      <c r="B68" s="16">
        <v>5</v>
      </c>
      <c r="C68">
        <v>1</v>
      </c>
      <c r="D68" s="62" t="s">
        <v>103</v>
      </c>
      <c r="E68" s="3" t="s">
        <v>13</v>
      </c>
      <c r="F68" s="62" t="s">
        <v>114</v>
      </c>
      <c r="G68" s="3">
        <v>0.8</v>
      </c>
      <c r="H68" s="6">
        <v>1E-8</v>
      </c>
      <c r="I68" s="3">
        <f t="shared" si="5"/>
        <v>0.8</v>
      </c>
      <c r="J68" s="6">
        <f t="shared" si="6"/>
        <v>1E-8</v>
      </c>
      <c r="K68" s="5"/>
      <c r="L68" s="3">
        <f t="shared" si="7"/>
        <v>0</v>
      </c>
      <c r="M68" s="17"/>
    </row>
    <row r="69" spans="2:13">
      <c r="B69" s="16">
        <v>6</v>
      </c>
      <c r="C69" s="3"/>
      <c r="D69" s="3"/>
      <c r="E69" s="3"/>
      <c r="F69" s="62"/>
      <c r="G69" s="3"/>
      <c r="H69" s="6"/>
      <c r="I69" s="3"/>
      <c r="J69" s="6"/>
      <c r="K69" s="5"/>
      <c r="L69" s="3"/>
      <c r="M69" s="17"/>
    </row>
    <row r="70" spans="2:13">
      <c r="B70" s="16">
        <v>7</v>
      </c>
      <c r="C70" s="3"/>
      <c r="D70" s="3"/>
      <c r="E70" s="3"/>
      <c r="F70" s="62"/>
      <c r="G70" s="3"/>
      <c r="H70" s="6"/>
      <c r="I70" s="3"/>
      <c r="J70" s="6"/>
      <c r="K70" s="5"/>
      <c r="L70" s="3"/>
      <c r="M70" s="17"/>
    </row>
    <row r="71" spans="2:13" ht="14.25" thickBot="1">
      <c r="B71" s="25">
        <v>8</v>
      </c>
      <c r="C71" s="3"/>
      <c r="D71" s="3"/>
      <c r="E71" s="3"/>
      <c r="F71" s="62"/>
      <c r="G71" s="3"/>
      <c r="H71" s="6"/>
      <c r="I71" s="3"/>
      <c r="J71" s="6"/>
      <c r="K71" s="5"/>
      <c r="L71" s="3"/>
      <c r="M71" s="30"/>
    </row>
    <row r="72" spans="2:13" ht="14.25" thickBot="1">
      <c r="B72" s="34" t="s">
        <v>40</v>
      </c>
      <c r="C72" s="35">
        <f>SUM(C64:C71)</f>
        <v>4.5</v>
      </c>
      <c r="D72" s="35"/>
      <c r="E72" s="35"/>
      <c r="F72" s="35"/>
      <c r="G72" s="35"/>
      <c r="H72" s="35"/>
      <c r="I72" s="35"/>
      <c r="J72" s="35"/>
      <c r="K72" s="36"/>
      <c r="L72" s="35">
        <f>SUM(L64:L71)</f>
        <v>0</v>
      </c>
      <c r="M72" s="37"/>
    </row>
    <row r="73" spans="2:13" ht="14.25" thickBot="1">
      <c r="B73" s="29"/>
      <c r="C73" s="11"/>
      <c r="D73" s="11"/>
      <c r="E73" s="11"/>
      <c r="F73" s="11"/>
      <c r="G73" s="11"/>
      <c r="H73" s="11"/>
      <c r="I73" s="11"/>
      <c r="J73" s="11"/>
      <c r="K73" s="28"/>
      <c r="L73" s="11"/>
      <c r="M73" s="11"/>
    </row>
    <row r="74" spans="2:13">
      <c r="B74" s="59" t="s">
        <v>25</v>
      </c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1"/>
    </row>
    <row r="75" spans="2:13">
      <c r="B75" s="16"/>
      <c r="C75" s="3"/>
      <c r="D75" s="3"/>
      <c r="E75" s="3"/>
      <c r="F75" s="3"/>
      <c r="G75" s="3">
        <v>1</v>
      </c>
      <c r="H75" s="3">
        <v>2</v>
      </c>
      <c r="I75" s="3">
        <v>3</v>
      </c>
      <c r="J75" s="3">
        <v>4</v>
      </c>
      <c r="K75" s="3">
        <v>5</v>
      </c>
      <c r="L75" s="3"/>
      <c r="M75" s="17"/>
    </row>
    <row r="76" spans="2:13">
      <c r="B76" s="16">
        <v>1</v>
      </c>
      <c r="C76">
        <v>1</v>
      </c>
      <c r="D76" s="93" t="s">
        <v>17</v>
      </c>
      <c r="E76" s="94"/>
      <c r="F76" s="95"/>
      <c r="G76" s="5"/>
      <c r="H76" s="5"/>
      <c r="I76" s="5"/>
      <c r="J76" s="5"/>
      <c r="K76" s="5"/>
      <c r="L76" s="3">
        <f t="shared" ref="L76:L81" si="8">SUM(C76*(W76-V76-U76)/30)</f>
        <v>0</v>
      </c>
      <c r="M76" s="17"/>
    </row>
    <row r="77" spans="2:13">
      <c r="B77" s="16">
        <v>2</v>
      </c>
      <c r="C77">
        <v>1</v>
      </c>
      <c r="D77" s="93" t="s">
        <v>18</v>
      </c>
      <c r="E77" s="94"/>
      <c r="F77" s="95"/>
      <c r="G77" s="5"/>
      <c r="H77" s="5"/>
      <c r="I77" s="5"/>
      <c r="J77" s="5"/>
      <c r="K77" s="5"/>
      <c r="L77" s="3">
        <f t="shared" si="8"/>
        <v>0</v>
      </c>
      <c r="M77" s="17"/>
    </row>
    <row r="78" spans="2:13">
      <c r="B78" s="16">
        <v>3</v>
      </c>
      <c r="C78">
        <v>1</v>
      </c>
      <c r="D78" s="93" t="s">
        <v>19</v>
      </c>
      <c r="E78" s="94"/>
      <c r="F78" s="95"/>
      <c r="G78" s="5"/>
      <c r="H78" s="5"/>
      <c r="I78" s="5"/>
      <c r="J78" s="5"/>
      <c r="K78" s="5"/>
      <c r="L78" s="3">
        <f t="shared" si="8"/>
        <v>0</v>
      </c>
      <c r="M78" s="17"/>
    </row>
    <row r="79" spans="2:13">
      <c r="B79" s="16">
        <v>4</v>
      </c>
      <c r="C79">
        <v>1</v>
      </c>
      <c r="D79" s="93" t="s">
        <v>20</v>
      </c>
      <c r="E79" s="94"/>
      <c r="F79" s="95"/>
      <c r="G79" s="5"/>
      <c r="H79" s="5"/>
      <c r="I79" s="5"/>
      <c r="J79" s="5"/>
      <c r="K79" s="5"/>
      <c r="L79" s="3">
        <f t="shared" si="8"/>
        <v>0</v>
      </c>
      <c r="M79" s="17"/>
    </row>
    <row r="80" spans="2:13">
      <c r="B80" s="22">
        <v>5</v>
      </c>
      <c r="C80">
        <v>1</v>
      </c>
      <c r="D80" s="93" t="s">
        <v>21</v>
      </c>
      <c r="E80" s="135"/>
      <c r="F80" s="136"/>
      <c r="G80" s="5"/>
      <c r="H80" s="5"/>
      <c r="I80" s="5"/>
      <c r="J80" s="5"/>
      <c r="K80" s="5"/>
      <c r="L80" s="3">
        <f t="shared" si="8"/>
        <v>0</v>
      </c>
      <c r="M80" s="17"/>
    </row>
    <row r="81" spans="2:13">
      <c r="B81" s="22">
        <v>6</v>
      </c>
      <c r="C81" s="3"/>
      <c r="D81" s="142"/>
      <c r="E81" s="94"/>
      <c r="F81" s="95"/>
      <c r="G81" s="9"/>
      <c r="H81" s="9"/>
      <c r="I81" s="9"/>
      <c r="J81" s="9"/>
      <c r="K81" s="9"/>
      <c r="L81" s="3">
        <f t="shared" si="8"/>
        <v>0</v>
      </c>
      <c r="M81" s="17"/>
    </row>
    <row r="82" spans="2:13">
      <c r="B82" s="22"/>
      <c r="C82" s="3"/>
      <c r="D82" s="128"/>
      <c r="E82" s="78"/>
      <c r="F82" s="78"/>
      <c r="G82" s="115" t="s">
        <v>41</v>
      </c>
      <c r="H82" s="115" t="s">
        <v>41</v>
      </c>
      <c r="I82" s="115" t="s">
        <v>41</v>
      </c>
      <c r="J82" s="115" t="s">
        <v>41</v>
      </c>
      <c r="K82" s="115" t="s">
        <v>42</v>
      </c>
      <c r="L82" s="3"/>
      <c r="M82" s="17"/>
    </row>
    <row r="83" spans="2:13">
      <c r="B83" s="22"/>
      <c r="C83" s="3"/>
      <c r="D83" s="78"/>
      <c r="E83" s="78"/>
      <c r="F83" s="78"/>
      <c r="G83" s="116"/>
      <c r="H83" s="116"/>
      <c r="I83" s="116"/>
      <c r="J83" s="116"/>
      <c r="K83" s="116"/>
      <c r="L83" s="3"/>
      <c r="M83" s="18"/>
    </row>
    <row r="84" spans="2:13">
      <c r="B84" s="22"/>
      <c r="C84" s="3"/>
      <c r="D84" s="78"/>
      <c r="E84" s="78"/>
      <c r="F84" s="78"/>
      <c r="G84" s="116"/>
      <c r="H84" s="116"/>
      <c r="I84" s="116"/>
      <c r="J84" s="116"/>
      <c r="K84" s="116"/>
      <c r="L84" s="3"/>
      <c r="M84" s="18"/>
    </row>
    <row r="85" spans="2:13">
      <c r="B85" s="22"/>
      <c r="C85" s="3"/>
      <c r="D85" s="78"/>
      <c r="E85" s="78"/>
      <c r="F85" s="78"/>
      <c r="G85" s="116"/>
      <c r="H85" s="116"/>
      <c r="I85" s="116"/>
      <c r="J85" s="116"/>
      <c r="K85" s="116"/>
      <c r="L85" s="3"/>
      <c r="M85" s="18"/>
    </row>
    <row r="86" spans="2:13">
      <c r="B86" s="22"/>
      <c r="C86" s="3"/>
      <c r="D86" s="78"/>
      <c r="E86" s="78"/>
      <c r="F86" s="78"/>
      <c r="G86" s="116"/>
      <c r="H86" s="116"/>
      <c r="I86" s="116"/>
      <c r="J86" s="116"/>
      <c r="K86" s="116"/>
      <c r="L86" s="3"/>
      <c r="M86" s="18"/>
    </row>
    <row r="87" spans="2:13" ht="14.25" thickBot="1">
      <c r="B87" s="27"/>
      <c r="C87" s="8"/>
      <c r="D87" s="129"/>
      <c r="E87" s="129"/>
      <c r="F87" s="129"/>
      <c r="G87" s="117"/>
      <c r="H87" s="117"/>
      <c r="I87" s="117"/>
      <c r="J87" s="117"/>
      <c r="K87" s="117"/>
      <c r="L87" s="8"/>
      <c r="M87" s="39"/>
    </row>
    <row r="88" spans="2:13" ht="14.25" thickBot="1">
      <c r="B88" s="40" t="s">
        <v>39</v>
      </c>
      <c r="C88" s="38">
        <f>SUM(C76:C87)</f>
        <v>5</v>
      </c>
      <c r="D88" s="35"/>
      <c r="E88" s="35"/>
      <c r="F88" s="35"/>
      <c r="G88" s="35"/>
      <c r="H88" s="35"/>
      <c r="I88" s="35"/>
      <c r="J88" s="35"/>
      <c r="K88" s="35"/>
      <c r="L88" s="38">
        <f>SUM(L76:L87)</f>
        <v>0</v>
      </c>
      <c r="M88" s="41"/>
    </row>
    <row r="89" spans="2:13" ht="14.25" thickBot="1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3"/>
    </row>
    <row r="90" spans="2:13">
      <c r="B90" s="59" t="s">
        <v>26</v>
      </c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1"/>
    </row>
    <row r="91" spans="2:13" ht="14.25" thickBot="1">
      <c r="B91" s="25">
        <v>1</v>
      </c>
      <c r="C91" s="8">
        <v>3</v>
      </c>
      <c r="D91" s="125" t="s">
        <v>27</v>
      </c>
      <c r="E91" s="126"/>
      <c r="F91" s="127"/>
      <c r="G91" s="8"/>
      <c r="H91" s="8"/>
      <c r="I91" s="8"/>
      <c r="J91" s="8"/>
      <c r="K91" s="9"/>
      <c r="L91" s="8">
        <f>IF(K91=0,C91,(K91-1)*(-C91))</f>
        <v>3</v>
      </c>
      <c r="M91" s="30"/>
    </row>
    <row r="92" spans="2:13" s="13" customFormat="1" ht="14.25" thickBot="1">
      <c r="B92" s="42" t="s">
        <v>39</v>
      </c>
      <c r="C92" s="38">
        <f>SUM(C91)</f>
        <v>3</v>
      </c>
      <c r="D92" s="43"/>
      <c r="E92" s="43"/>
      <c r="F92" s="43"/>
      <c r="G92" s="44"/>
      <c r="H92" s="44"/>
      <c r="I92" s="44"/>
      <c r="J92" s="44"/>
      <c r="K92" s="44"/>
      <c r="L92" s="38">
        <f>SUM(L91)</f>
        <v>3</v>
      </c>
      <c r="M92" s="41"/>
    </row>
    <row r="93" spans="2:13" s="13" customFormat="1" ht="14.25" thickBot="1">
      <c r="B93" s="11"/>
      <c r="C93" s="11"/>
      <c r="G93" s="14"/>
      <c r="H93" s="14"/>
      <c r="I93" s="14"/>
      <c r="J93" s="14"/>
      <c r="K93" s="14"/>
      <c r="L93" s="11"/>
    </row>
    <row r="94" spans="2:13" ht="14.25" thickBot="1">
      <c r="B94" s="42"/>
      <c r="C94" s="38"/>
      <c r="D94" s="112"/>
      <c r="E94" s="137"/>
      <c r="F94" s="137"/>
      <c r="G94" s="137"/>
      <c r="H94" s="137"/>
      <c r="I94" s="113"/>
      <c r="J94" s="112" t="s">
        <v>28</v>
      </c>
      <c r="K94" s="113"/>
      <c r="L94" s="112" t="s">
        <v>29</v>
      </c>
      <c r="M94" s="114"/>
    </row>
    <row r="95" spans="2:13">
      <c r="B95" s="26"/>
      <c r="C95" s="12"/>
      <c r="D95" s="138" t="s">
        <v>30</v>
      </c>
      <c r="E95" s="139"/>
      <c r="F95" s="139"/>
      <c r="G95" s="139"/>
      <c r="H95" s="139"/>
      <c r="I95" s="140"/>
      <c r="J95" s="132"/>
      <c r="K95" s="133"/>
      <c r="L95" s="132"/>
      <c r="M95" s="141"/>
    </row>
    <row r="96" spans="2:13">
      <c r="B96" s="16"/>
      <c r="C96" s="3"/>
      <c r="D96" s="122" t="s">
        <v>31</v>
      </c>
      <c r="E96" s="123"/>
      <c r="F96" s="123"/>
      <c r="G96" s="123"/>
      <c r="H96" s="123"/>
      <c r="I96" s="124"/>
      <c r="J96" s="130"/>
      <c r="K96" s="134"/>
      <c r="L96" s="130"/>
      <c r="M96" s="131"/>
    </row>
    <row r="97" spans="2:13">
      <c r="B97" s="16"/>
      <c r="C97" s="3"/>
      <c r="D97" s="122" t="s">
        <v>32</v>
      </c>
      <c r="E97" s="123"/>
      <c r="F97" s="123"/>
      <c r="G97" s="123"/>
      <c r="H97" s="123"/>
      <c r="I97" s="124"/>
      <c r="J97" s="130"/>
      <c r="K97" s="134"/>
      <c r="L97" s="130"/>
      <c r="M97" s="131"/>
    </row>
    <row r="98" spans="2:13" ht="14.25" thickBot="1">
      <c r="B98" s="20"/>
      <c r="C98" s="21"/>
      <c r="D98" s="119" t="s">
        <v>33</v>
      </c>
      <c r="E98" s="120"/>
      <c r="F98" s="120"/>
      <c r="G98" s="120"/>
      <c r="H98" s="120"/>
      <c r="I98" s="121"/>
      <c r="J98" s="110"/>
      <c r="K98" s="118"/>
      <c r="L98" s="110"/>
      <c r="M98" s="111"/>
    </row>
  </sheetData>
  <protectedRanges>
    <protectedRange sqref="K91" name="区域5"/>
    <protectedRange sqref="G76:K87" name="区域4"/>
    <protectedRange sqref="K64:K71" name="区域3"/>
    <protectedRange sqref="K38:K60" name="区域2"/>
    <protectedRange sqref="K8:K34" name="区域1"/>
  </protectedRanges>
  <mergeCells count="39">
    <mergeCell ref="D76:F76"/>
    <mergeCell ref="B1:M2"/>
    <mergeCell ref="B3:D3"/>
    <mergeCell ref="E3:F3"/>
    <mergeCell ref="G3:H3"/>
    <mergeCell ref="I3:J3"/>
    <mergeCell ref="L3:M3"/>
    <mergeCell ref="H82:H87"/>
    <mergeCell ref="G4:H4"/>
    <mergeCell ref="D94:I94"/>
    <mergeCell ref="J94:K94"/>
    <mergeCell ref="L94:M94"/>
    <mergeCell ref="D77:F77"/>
    <mergeCell ref="D78:F78"/>
    <mergeCell ref="G82:G87"/>
    <mergeCell ref="J82:J87"/>
    <mergeCell ref="B4:D4"/>
    <mergeCell ref="E4:F4"/>
    <mergeCell ref="I4:J4"/>
    <mergeCell ref="L4:M4"/>
    <mergeCell ref="D81:F81"/>
    <mergeCell ref="D82:F87"/>
    <mergeCell ref="K82:K87"/>
    <mergeCell ref="D79:F79"/>
    <mergeCell ref="D80:F80"/>
    <mergeCell ref="L98:M98"/>
    <mergeCell ref="D96:I96"/>
    <mergeCell ref="J96:K96"/>
    <mergeCell ref="L96:M96"/>
    <mergeCell ref="D97:I97"/>
    <mergeCell ref="J97:K97"/>
    <mergeCell ref="L97:M97"/>
    <mergeCell ref="J98:K98"/>
    <mergeCell ref="D98:I98"/>
    <mergeCell ref="L95:M95"/>
    <mergeCell ref="D91:F91"/>
    <mergeCell ref="D95:I95"/>
    <mergeCell ref="I82:I87"/>
    <mergeCell ref="J95:K95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成绩单</vt:lpstr>
      <vt:lpstr>MOD2-评分表</vt:lpstr>
      <vt:lpstr>'MOD2-评分表'!Print_Area</vt:lpstr>
      <vt:lpstr>成绩单!Print_Area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练军峰</cp:lastModifiedBy>
  <cp:lastPrinted>2013-12-23T15:38:43Z</cp:lastPrinted>
  <dcterms:created xsi:type="dcterms:W3CDTF">2013-12-23T13:02:11Z</dcterms:created>
  <dcterms:modified xsi:type="dcterms:W3CDTF">2014-05-27T07:08:11Z</dcterms:modified>
</cp:coreProperties>
</file>