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480" yWindow="120" windowWidth="8505" windowHeight="4530" tabRatio="889"/>
  </bookViews>
  <sheets>
    <sheet name="Total" sheetId="2" r:id="rId1"/>
    <sheet name="A-Main Dimension" sheetId="3" r:id="rId2"/>
    <sheet name="B-Secundary Dimension" sheetId="4" r:id="rId3"/>
    <sheet name="C-Surface Quality" sheetId="5" r:id="rId4"/>
    <sheet name="E-additional material " sheetId="7" r:id="rId5"/>
    <sheet name="D-conformity" sheetId="6" r:id="rId6"/>
  </sheets>
  <definedNames>
    <definedName name="_xlnm.Print_Area" localSheetId="1">'A-Main Dimension'!$B$1:$BC$69</definedName>
    <definedName name="_xlnm.Print_Area" localSheetId="2">'B-Secundary Dimension'!$A$1:$BC$69</definedName>
    <definedName name="_xlnm.Print_Area" localSheetId="3">'C-Surface Quality'!$A$1:$BC$69</definedName>
    <definedName name="_xlnm.Print_Area" localSheetId="5">'D-conformity'!$A$1:$BB$70</definedName>
  </definedNames>
  <calcPr calcId="124519"/>
</workbook>
</file>

<file path=xl/calcChain.xml><?xml version="1.0" encoding="utf-8"?>
<calcChain xmlns="http://schemas.openxmlformats.org/spreadsheetml/2006/main">
  <c r="AX24" i="7"/>
  <c r="AX31" i="5"/>
  <c r="AX30"/>
  <c r="AX54" i="7"/>
  <c r="AL73" i="2" s="1"/>
  <c r="AX25" i="5"/>
  <c r="AX26"/>
  <c r="AX27"/>
  <c r="AX28"/>
  <c r="AX29"/>
  <c r="AX24"/>
  <c r="AW25" i="6"/>
  <c r="AW55" s="1"/>
  <c r="AL67" i="2" s="1"/>
  <c r="BD25" i="6"/>
  <c r="BE25"/>
  <c r="BF25"/>
  <c r="BG25"/>
  <c r="BH25"/>
  <c r="BI25"/>
  <c r="BJ25"/>
  <c r="BK25"/>
  <c r="BL25"/>
  <c r="AW26"/>
  <c r="BD26"/>
  <c r="BE26"/>
  <c r="BF26"/>
  <c r="BG26"/>
  <c r="BH26"/>
  <c r="BI26"/>
  <c r="BJ26"/>
  <c r="BK26"/>
  <c r="BL26"/>
  <c r="AW27"/>
  <c r="BD27"/>
  <c r="BE27"/>
  <c r="BF27"/>
  <c r="BG27"/>
  <c r="BH27"/>
  <c r="BI27"/>
  <c r="BJ27"/>
  <c r="BK27"/>
  <c r="BL27"/>
  <c r="AW28"/>
  <c r="BD28"/>
  <c r="BE28"/>
  <c r="BF28"/>
  <c r="BG28"/>
  <c r="BH28"/>
  <c r="BI28"/>
  <c r="BJ28"/>
  <c r="BK28"/>
  <c r="BL28"/>
  <c r="AW29"/>
  <c r="BD29"/>
  <c r="BE29"/>
  <c r="BF29"/>
  <c r="BG29"/>
  <c r="BH29"/>
  <c r="BI29"/>
  <c r="BJ29"/>
  <c r="BK29"/>
  <c r="BL29"/>
  <c r="AW30"/>
  <c r="BD30"/>
  <c r="BE30"/>
  <c r="BF30"/>
  <c r="BG30"/>
  <c r="BH30"/>
  <c r="BI30"/>
  <c r="BJ30"/>
  <c r="BK30"/>
  <c r="BL30"/>
  <c r="AW31"/>
  <c r="AW32"/>
  <c r="F55"/>
  <c r="F54" i="7"/>
  <c r="F54" i="5"/>
  <c r="F54" i="4"/>
  <c r="F54" i="3"/>
  <c r="AH37" i="2"/>
  <c r="AL37"/>
  <c r="AP37"/>
  <c r="AU37"/>
  <c r="AH39"/>
  <c r="AL39"/>
  <c r="AP39"/>
  <c r="AH77"/>
  <c r="AL77"/>
  <c r="AP77"/>
  <c r="AH79"/>
  <c r="AP79"/>
  <c r="AU77" l="1"/>
  <c r="AX54" i="5"/>
  <c r="AL61" i="2" s="1"/>
  <c r="AX54" i="4"/>
  <c r="AL55" i="2" s="1"/>
  <c r="AX54" i="3"/>
  <c r="AL49" i="2" s="1"/>
  <c r="AL79" l="1"/>
  <c r="AU79" s="1"/>
</calcChain>
</file>

<file path=xl/sharedStrings.xml><?xml version="1.0" encoding="utf-8"?>
<sst xmlns="http://schemas.openxmlformats.org/spreadsheetml/2006/main" count="379" uniqueCount="164">
  <si>
    <t>Objective Marking Form</t>
    <phoneticPr fontId="1" type="noConversion"/>
  </si>
  <si>
    <t>Day 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</si>
  <si>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</si>
  <si>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</si>
  <si>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</si>
  <si>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</si>
  <si>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</si>
  <si>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Skill No.</t>
    <phoneticPr fontId="1" type="noConversion"/>
  </si>
  <si>
    <t>Skill</t>
    <phoneticPr fontId="1" type="noConversion"/>
  </si>
  <si>
    <t>CNC Milling</t>
    <phoneticPr fontId="1" type="noConversion"/>
  </si>
  <si>
    <t>Competitor No.</t>
    <phoneticPr fontId="1" type="noConversion"/>
  </si>
  <si>
    <t>Competitor Name</t>
    <phoneticPr fontId="1" type="noConversion"/>
  </si>
  <si>
    <t>Member</t>
    <phoneticPr fontId="1" type="noConversion"/>
  </si>
  <si>
    <t>Criterion ID</t>
    <phoneticPr fontId="1" type="noConversion"/>
  </si>
  <si>
    <t>Criterion Description</t>
    <phoneticPr fontId="1" type="noConversion"/>
  </si>
  <si>
    <t>Marks Awarded</t>
    <phoneticPr fontId="1" type="noConversion"/>
  </si>
  <si>
    <t>Total Award</t>
    <phoneticPr fontId="1" type="noConversion"/>
  </si>
  <si>
    <t>Actual</t>
    <phoneticPr fontId="1" type="noConversion"/>
  </si>
  <si>
    <t>Total</t>
    <phoneticPr fontId="1" type="noConversion"/>
  </si>
  <si>
    <t>Sub Criterion Description</t>
    <phoneticPr fontId="1" type="noConversion"/>
  </si>
  <si>
    <t>Sub
Criterion ID</t>
    <phoneticPr fontId="1" type="noConversion"/>
  </si>
  <si>
    <t>Max</t>
    <phoneticPr fontId="1" type="noConversion"/>
  </si>
  <si>
    <t>Results Confirmed By</t>
    <phoneticPr fontId="1" type="noConversion"/>
  </si>
  <si>
    <t>Jury President</t>
    <phoneticPr fontId="1" type="noConversion"/>
  </si>
  <si>
    <t>Chief Expert</t>
    <phoneticPr fontId="1" type="noConversion"/>
  </si>
  <si>
    <t>Compatriot Expert</t>
    <phoneticPr fontId="1" type="noConversion"/>
  </si>
  <si>
    <t>Day 2</t>
    <phoneticPr fontId="1" type="noConversion"/>
  </si>
  <si>
    <t>Day 3</t>
    <phoneticPr fontId="1" type="noConversion"/>
  </si>
  <si>
    <t>Page 1 of 1</t>
    <phoneticPr fontId="1" type="noConversion"/>
  </si>
  <si>
    <t xml:space="preserve">  Main dimensions</t>
    <phoneticPr fontId="1" type="noConversion"/>
  </si>
  <si>
    <t xml:space="preserve">  Secondary dimensions</t>
    <phoneticPr fontId="1" type="noConversion"/>
  </si>
  <si>
    <t xml:space="preserve">  Surface quality</t>
    <phoneticPr fontId="1" type="noConversion"/>
  </si>
  <si>
    <t xml:space="preserve">  Conformity with drawing</t>
    <phoneticPr fontId="1" type="noConversion"/>
  </si>
  <si>
    <t xml:space="preserve">  No additional material used</t>
    <phoneticPr fontId="1" type="noConversion"/>
  </si>
  <si>
    <t xml:space="preserve">  Main Dimension for Project 1</t>
    <phoneticPr fontId="1" type="noConversion"/>
  </si>
  <si>
    <t xml:space="preserve">  Secundary Dimension for Project 1</t>
    <phoneticPr fontId="1" type="noConversion"/>
  </si>
  <si>
    <t xml:space="preserve">  Surface Quality for Project 1</t>
    <phoneticPr fontId="1" type="noConversion"/>
  </si>
  <si>
    <t xml:space="preserve">  In conformity with drawing Project 1</t>
    <phoneticPr fontId="1" type="noConversion"/>
  </si>
  <si>
    <t xml:space="preserve">  No additional material used for Project 1</t>
    <phoneticPr fontId="1" type="noConversion"/>
  </si>
  <si>
    <t xml:space="preserve">  Main Dimension for Project 2</t>
  </si>
  <si>
    <t xml:space="preserve">  Main Dimension for Project 3</t>
  </si>
  <si>
    <t xml:space="preserve">  Secundary Dimension for Project 2</t>
  </si>
  <si>
    <t xml:space="preserve">  Secundary Dimension for Project 3</t>
  </si>
  <si>
    <t xml:space="preserve">  Surface Quality for Project 2</t>
  </si>
  <si>
    <t xml:space="preserve">  Surface Quality for Project 3</t>
  </si>
  <si>
    <t xml:space="preserve">  In conformity with drawing Project 2</t>
  </si>
  <si>
    <t xml:space="preserve">  In conformity with drawing Project 3</t>
  </si>
  <si>
    <t xml:space="preserve">  No additional material used for Project 2</t>
  </si>
  <si>
    <t xml:space="preserve">  No additional material used for Project 3</t>
  </si>
  <si>
    <t>Sub Criterion ID</t>
    <phoneticPr fontId="1" type="noConversion"/>
  </si>
  <si>
    <t>Competition Day</t>
    <phoneticPr fontId="1" type="noConversion"/>
  </si>
  <si>
    <t>Sub Criterion</t>
    <phoneticPr fontId="1" type="noConversion"/>
  </si>
  <si>
    <t>Competitor No.</t>
    <phoneticPr fontId="1" type="noConversion"/>
  </si>
  <si>
    <t>Aspect
ID</t>
    <phoneticPr fontId="1" type="noConversion"/>
  </si>
  <si>
    <t>Max
Mark</t>
    <phoneticPr fontId="1" type="noConversion"/>
  </si>
  <si>
    <t>Aspect of Criterion - Description</t>
    <phoneticPr fontId="1" type="noConversion"/>
  </si>
  <si>
    <t>Requirement or
Nominal Size</t>
    <phoneticPr fontId="1" type="noConversion"/>
  </si>
  <si>
    <t>Result or Actual
Value</t>
    <phoneticPr fontId="1" type="noConversion"/>
  </si>
  <si>
    <t>Mark
Awarded</t>
    <phoneticPr fontId="1" type="noConversion"/>
  </si>
  <si>
    <t>Mark Awarded</t>
    <phoneticPr fontId="1" type="noConversion"/>
  </si>
  <si>
    <t>Signatures confirming the accuracy of this printed result</t>
    <phoneticPr fontId="1" type="noConversion"/>
  </si>
  <si>
    <t>Compatriot or Independent Expert</t>
    <phoneticPr fontId="1" type="noConversion"/>
  </si>
  <si>
    <t>Date and Time</t>
    <phoneticPr fontId="1" type="noConversion"/>
  </si>
  <si>
    <t>Mark Awarded is the Max Mark minus any</t>
    <phoneticPr fontId="1" type="noConversion"/>
  </si>
  <si>
    <t>specified deductions for difference between</t>
    <phoneticPr fontId="1" type="noConversion"/>
  </si>
  <si>
    <t>Requirement and Result</t>
    <phoneticPr fontId="1" type="noConversion"/>
  </si>
  <si>
    <t xml:space="preserve">  Maximum Mark for Sub Criterion</t>
    <phoneticPr fontId="1" type="noConversion"/>
  </si>
  <si>
    <t>Subjective Marking Form</t>
    <phoneticPr fontId="1" type="noConversion"/>
  </si>
  <si>
    <t>Page 1/1</t>
    <phoneticPr fontId="1" type="noConversion"/>
  </si>
  <si>
    <t>No additional material used for Project 1</t>
    <phoneticPr fontId="1" type="noConversion"/>
  </si>
  <si>
    <t>Ra 0.8</t>
    <phoneticPr fontId="1" type="noConversion"/>
  </si>
  <si>
    <t>Experts Score (1 to 10)</t>
    <phoneticPr fontId="1" type="noConversion"/>
  </si>
  <si>
    <t>1/0</t>
    <phoneticPr fontId="1" type="noConversion"/>
  </si>
  <si>
    <t>1/0</t>
    <phoneticPr fontId="1" type="noConversion"/>
  </si>
  <si>
    <t>Ra 0.8</t>
    <phoneticPr fontId="1" type="noConversion"/>
  </si>
  <si>
    <t>China Team Training 2012</t>
    <phoneticPr fontId="1" type="noConversion"/>
  </si>
  <si>
    <t>China Team Training 2012</t>
    <phoneticPr fontId="1" type="noConversion"/>
  </si>
  <si>
    <t>Chamfering edges by machine</t>
    <phoneticPr fontId="1" type="noConversion"/>
  </si>
  <si>
    <t>Edge Chamfering by Hand 0,2-0,3x45º</t>
    <phoneticPr fontId="1" type="noConversion"/>
  </si>
  <si>
    <t>Damage in Contour</t>
    <phoneticPr fontId="1" type="noConversion"/>
  </si>
  <si>
    <t>Conformity with drawing - First Surface</t>
    <phoneticPr fontId="1" type="noConversion"/>
  </si>
  <si>
    <t>Comformity with drawing - Second surface</t>
    <phoneticPr fontId="1" type="noConversion"/>
  </si>
  <si>
    <t>24-08-2012</t>
    <phoneticPr fontId="1" type="noConversion"/>
  </si>
  <si>
    <t>Main Dimension for M2-1</t>
    <phoneticPr fontId="1" type="noConversion"/>
  </si>
  <si>
    <t>Secundary Dimension for M2-1</t>
    <phoneticPr fontId="1" type="noConversion"/>
  </si>
  <si>
    <t>Surface Quality for M2-1</t>
    <phoneticPr fontId="1" type="noConversion"/>
  </si>
  <si>
    <t>No additional material used for M2-1</t>
    <phoneticPr fontId="1" type="noConversion"/>
  </si>
  <si>
    <t>In conformity with drawing  M2-1</t>
    <phoneticPr fontId="1" type="noConversion"/>
  </si>
  <si>
    <t>D2</t>
    <phoneticPr fontId="1" type="noConversion"/>
  </si>
  <si>
    <t>C6</t>
    <phoneticPr fontId="1" type="noConversion"/>
  </si>
  <si>
    <t>74+0/-0.025</t>
    <phoneticPr fontId="1" type="noConversion"/>
  </si>
  <si>
    <t>C5</t>
    <phoneticPr fontId="1" type="noConversion"/>
  </si>
  <si>
    <t>D4</t>
    <phoneticPr fontId="1" type="noConversion"/>
  </si>
  <si>
    <t>12+0/-0.023</t>
    <phoneticPr fontId="1" type="noConversion"/>
  </si>
  <si>
    <t>E2</t>
    <phoneticPr fontId="1" type="noConversion"/>
  </si>
  <si>
    <t>98-0.01/-0.04</t>
    <phoneticPr fontId="1" type="noConversion"/>
  </si>
  <si>
    <t>34+0/-0.03</t>
    <phoneticPr fontId="1" type="noConversion"/>
  </si>
  <si>
    <t>40+0.06/+0.03</t>
    <phoneticPr fontId="1" type="noConversion"/>
  </si>
  <si>
    <t>68+0.03</t>
    <phoneticPr fontId="1" type="noConversion"/>
  </si>
  <si>
    <t>E4</t>
    <phoneticPr fontId="1" type="noConversion"/>
  </si>
  <si>
    <t>15+0/-0.03</t>
    <phoneticPr fontId="1" type="noConversion"/>
  </si>
  <si>
    <t>E5</t>
    <phoneticPr fontId="1" type="noConversion"/>
  </si>
  <si>
    <t>D9</t>
    <phoneticPr fontId="1" type="noConversion"/>
  </si>
  <si>
    <t>D10</t>
    <phoneticPr fontId="1" type="noConversion"/>
  </si>
  <si>
    <t>13+0/-0.025</t>
    <phoneticPr fontId="1" type="noConversion"/>
  </si>
  <si>
    <t>//0.02</t>
    <phoneticPr fontId="1" type="noConversion"/>
  </si>
  <si>
    <t>141+0/-0.025</t>
    <phoneticPr fontId="1" type="noConversion"/>
  </si>
  <si>
    <t>10+0.1/-0.1</t>
    <phoneticPr fontId="1" type="noConversion"/>
  </si>
  <si>
    <t>8+0.1/-0.1</t>
    <phoneticPr fontId="1" type="noConversion"/>
  </si>
  <si>
    <t>50+0.1/-0.1</t>
    <phoneticPr fontId="1" type="noConversion"/>
  </si>
  <si>
    <t>B3</t>
    <phoneticPr fontId="1" type="noConversion"/>
  </si>
  <si>
    <t>6+0.1/-0.1</t>
    <phoneticPr fontId="1" type="noConversion"/>
  </si>
  <si>
    <t>9+0.1/-0.1</t>
    <phoneticPr fontId="1" type="noConversion"/>
  </si>
  <si>
    <t>25+0.1/-0.1</t>
    <phoneticPr fontId="1" type="noConversion"/>
  </si>
  <si>
    <t>M35X1.5/12+2</t>
    <phoneticPr fontId="1" type="noConversion"/>
  </si>
  <si>
    <t>C3</t>
    <phoneticPr fontId="1" type="noConversion"/>
  </si>
  <si>
    <t>48+/-0.02</t>
    <phoneticPr fontId="1" type="noConversion"/>
  </si>
  <si>
    <t>M10/12+2</t>
    <phoneticPr fontId="1" type="noConversion"/>
  </si>
  <si>
    <t>M6/10+2</t>
    <phoneticPr fontId="1" type="noConversion"/>
  </si>
  <si>
    <t>D7</t>
    <phoneticPr fontId="1" type="noConversion"/>
  </si>
  <si>
    <t>42+0/-0.02</t>
    <phoneticPr fontId="1" type="noConversion"/>
  </si>
  <si>
    <t>20+0.025/0</t>
    <phoneticPr fontId="1" type="noConversion"/>
  </si>
  <si>
    <t>10+0.02/0</t>
    <phoneticPr fontId="1" type="noConversion"/>
  </si>
  <si>
    <t>12+0.023/0</t>
    <phoneticPr fontId="1" type="noConversion"/>
  </si>
  <si>
    <t>3.5+0.025/0</t>
    <phoneticPr fontId="1" type="noConversion"/>
  </si>
  <si>
    <t>25+0.025/0</t>
    <phoneticPr fontId="1" type="noConversion"/>
  </si>
  <si>
    <t>12+0.018/0</t>
    <phoneticPr fontId="1" type="noConversion"/>
  </si>
  <si>
    <t>12+0.03/0</t>
    <phoneticPr fontId="1" type="noConversion"/>
  </si>
  <si>
    <t>3+0.03/0</t>
    <phoneticPr fontId="1" type="noConversion"/>
  </si>
  <si>
    <t>8+0.03/0</t>
    <phoneticPr fontId="1" type="noConversion"/>
  </si>
  <si>
    <t>92+0.02/0</t>
    <phoneticPr fontId="1" type="noConversion"/>
  </si>
  <si>
    <t>60+0.035/0</t>
    <phoneticPr fontId="1" type="noConversion"/>
  </si>
  <si>
    <t>D2</t>
    <phoneticPr fontId="1" type="noConversion"/>
  </si>
  <si>
    <t>C2</t>
    <phoneticPr fontId="1" type="noConversion"/>
  </si>
  <si>
    <t>C4</t>
    <phoneticPr fontId="1" type="noConversion"/>
  </si>
  <si>
    <t>20+0.1/-0.1</t>
    <phoneticPr fontId="1" type="noConversion"/>
  </si>
  <si>
    <t>20+0.1/-0.1</t>
    <phoneticPr fontId="1" type="noConversion"/>
  </si>
  <si>
    <t>B5</t>
    <phoneticPr fontId="1" type="noConversion"/>
  </si>
  <si>
    <t>B7</t>
    <phoneticPr fontId="1" type="noConversion"/>
  </si>
  <si>
    <t>C8</t>
    <phoneticPr fontId="1" type="noConversion"/>
  </si>
  <si>
    <t>C9</t>
    <phoneticPr fontId="1" type="noConversion"/>
  </si>
  <si>
    <t>E8</t>
    <phoneticPr fontId="1" type="noConversion"/>
  </si>
  <si>
    <t>E9</t>
    <phoneticPr fontId="1" type="noConversion"/>
  </si>
  <si>
    <t>D8</t>
    <phoneticPr fontId="1" type="noConversion"/>
  </si>
  <si>
    <t>C4</t>
    <phoneticPr fontId="1" type="noConversion"/>
  </si>
  <si>
    <t>C5</t>
    <phoneticPr fontId="1" type="noConversion"/>
  </si>
  <si>
    <t>B4</t>
    <phoneticPr fontId="1" type="noConversion"/>
  </si>
  <si>
    <t>E4</t>
    <phoneticPr fontId="1" type="noConversion"/>
  </si>
  <si>
    <t>E5</t>
    <phoneticPr fontId="1" type="noConversion"/>
  </si>
  <si>
    <t>D5</t>
    <phoneticPr fontId="1" type="noConversion"/>
  </si>
  <si>
    <t>C6</t>
    <phoneticPr fontId="1" type="noConversion"/>
  </si>
  <si>
    <t>E6</t>
    <phoneticPr fontId="1" type="noConversion"/>
  </si>
  <si>
    <t>E7</t>
    <phoneticPr fontId="1" type="noConversion"/>
  </si>
  <si>
    <t>D7</t>
    <phoneticPr fontId="1" type="noConversion"/>
  </si>
  <si>
    <t>D9</t>
    <phoneticPr fontId="1" type="noConversion"/>
  </si>
  <si>
    <t>D8</t>
    <phoneticPr fontId="1" type="noConversion"/>
  </si>
  <si>
    <t>11+0.1/-0.1</t>
    <phoneticPr fontId="1" type="noConversion"/>
  </si>
  <si>
    <t>8+/-0.1</t>
    <phoneticPr fontId="1" type="noConversion"/>
  </si>
  <si>
    <t>D8</t>
    <phoneticPr fontId="1" type="noConversion"/>
  </si>
  <si>
    <t>D4</t>
    <phoneticPr fontId="1" type="noConversion"/>
  </si>
  <si>
    <t>39+/-0.2</t>
    <phoneticPr fontId="1" type="noConversion"/>
  </si>
  <si>
    <t>C5</t>
    <phoneticPr fontId="1" type="noConversion"/>
  </si>
  <si>
    <t>÷0.025</t>
    <phoneticPr fontId="1" type="noConversion"/>
  </si>
  <si>
    <t>F4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</si>
</sst>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9">
    <font>
      <sz val="12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6"/>
      <name val="宋体"/>
      <charset val="134"/>
    </font>
    <font>
      <sz val="12"/>
      <name val="Dotum"/>
      <family val="2"/>
      <charset val="129"/>
    </font>
    <font>
      <b/>
      <sz val="10"/>
      <name val="Dotum"/>
      <family val="2"/>
      <charset val="129"/>
    </font>
    <font>
      <sz val="8"/>
      <name val="Dotum"/>
      <family val="2"/>
      <charset val="129"/>
    </font>
    <font>
      <sz val="12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9"/>
      <name val="Arial"/>
      <family val="2"/>
    </font>
    <font>
      <sz val="16"/>
      <name val="Arial"/>
      <family val="2"/>
    </font>
    <font>
      <sz val="6"/>
      <name val="Dotum"/>
      <family val="2"/>
      <charset val="129"/>
    </font>
    <font>
      <sz val="14"/>
      <name val="Arial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13" fillId="0" borderId="0" xfId="0" applyFont="1" applyBorder="1"/>
    <xf numFmtId="0" fontId="13" fillId="0" borderId="0" xfId="0" applyFont="1" applyBorder="1" applyAlignment="1"/>
    <xf numFmtId="0" fontId="0" fillId="0" borderId="9" xfId="0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21" fontId="12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2" fillId="0" borderId="1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15" fontId="5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76" fontId="12" fillId="0" borderId="10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85725</xdr:rowOff>
    </xdr:from>
    <xdr:to>
      <xdr:col>12</xdr:col>
      <xdr:colOff>9525</xdr:colOff>
      <xdr:row>8</xdr:row>
      <xdr:rowOff>76200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8572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57151</xdr:colOff>
      <xdr:row>10</xdr:row>
      <xdr:rowOff>47625</xdr:rowOff>
    </xdr:to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6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7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28575</xdr:colOff>
      <xdr:row>59</xdr:row>
      <xdr:rowOff>57150</xdr:rowOff>
    </xdr:from>
    <xdr:to>
      <xdr:col>52</xdr:col>
      <xdr:colOff>66675</xdr:colOff>
      <xdr:row>65</xdr:row>
      <xdr:rowOff>85725</xdr:rowOff>
    </xdr:to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229100" y="7267575"/>
          <a:ext cx="1619250" cy="647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C84"/>
  <sheetViews>
    <sheetView tabSelected="1" zoomScale="150" workbookViewId="0">
      <selection activeCell="AU4" sqref="AU4:BB5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0" t="s">
        <v>28</v>
      </c>
      <c r="AV2" s="50"/>
      <c r="AW2" s="50"/>
      <c r="AX2" s="50"/>
      <c r="AY2" s="50"/>
      <c r="AZ2" s="50"/>
      <c r="BA2" s="50"/>
      <c r="BB2" s="50"/>
      <c r="BC2" s="20"/>
    </row>
    <row r="3" spans="1:55" ht="8.1" customHeight="1">
      <c r="A3" s="1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3" t="s">
        <v>0</v>
      </c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0"/>
      <c r="AV3" s="50"/>
      <c r="AW3" s="50"/>
      <c r="AX3" s="50"/>
      <c r="AY3" s="50"/>
      <c r="AZ3" s="50"/>
      <c r="BA3" s="50"/>
      <c r="BB3" s="50"/>
      <c r="BC3" s="20"/>
    </row>
    <row r="4" spans="1:55" ht="8.1" customHeight="1">
      <c r="A4" s="1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1" t="s">
        <v>82</v>
      </c>
      <c r="AV4" s="51"/>
      <c r="AW4" s="51"/>
      <c r="AX4" s="51"/>
      <c r="AY4" s="51"/>
      <c r="AZ4" s="51"/>
      <c r="BA4" s="51"/>
      <c r="BB4" s="51"/>
      <c r="BC4" s="21"/>
    </row>
    <row r="5" spans="1:55" ht="8.1" customHeight="1">
      <c r="A5" s="1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1"/>
      <c r="AV5" s="51"/>
      <c r="AW5" s="51"/>
      <c r="AX5" s="51"/>
      <c r="AY5" s="51"/>
      <c r="AZ5" s="51"/>
      <c r="BA5" s="51"/>
      <c r="BB5" s="51"/>
      <c r="BC5" s="21"/>
    </row>
    <row r="6" spans="1:55" ht="8.1" customHeight="1">
      <c r="A6" s="1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3" t="s">
        <v>75</v>
      </c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2">
        <v>0.96415509259259258</v>
      </c>
      <c r="AV6" s="51"/>
      <c r="AW6" s="51"/>
      <c r="AX6" s="51"/>
      <c r="AY6" s="51"/>
      <c r="AZ6" s="51"/>
      <c r="BA6" s="51"/>
      <c r="BB6" s="51"/>
      <c r="BC6" s="21"/>
    </row>
    <row r="7" spans="1:55" ht="8.1" customHeight="1">
      <c r="A7" s="1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1"/>
      <c r="AV7" s="51"/>
      <c r="AW7" s="51"/>
      <c r="AX7" s="51"/>
      <c r="AY7" s="51"/>
      <c r="AZ7" s="51"/>
      <c r="BA7" s="51"/>
      <c r="BB7" s="51"/>
      <c r="BC7" s="21"/>
    </row>
    <row r="8" spans="1:55" ht="8.1" customHeight="1">
      <c r="A8" s="1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"/>
      <c r="AV8" s="5"/>
      <c r="AW8" s="5"/>
      <c r="AX8" s="5"/>
      <c r="AY8" s="5"/>
      <c r="AZ8" s="5"/>
      <c r="BA8" s="5"/>
      <c r="BB8" s="5"/>
      <c r="BC8" s="22"/>
    </row>
    <row r="9" spans="1:55" ht="8.1" customHeight="1">
      <c r="A9" s="1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8.1" customHeight="1">
      <c r="A10" s="19"/>
      <c r="B10" s="56" t="s">
        <v>7</v>
      </c>
      <c r="C10" s="56"/>
      <c r="D10" s="56"/>
      <c r="E10" s="56"/>
      <c r="F10" s="56"/>
      <c r="G10" s="56"/>
      <c r="H10" s="56"/>
      <c r="I10" s="5"/>
      <c r="J10" s="59">
        <v>0</v>
      </c>
      <c r="K10" s="59"/>
      <c r="L10" s="56">
        <v>7</v>
      </c>
      <c r="M10" s="56"/>
      <c r="N10" s="5"/>
      <c r="O10" s="5"/>
      <c r="P10" s="49" t="s">
        <v>8</v>
      </c>
      <c r="Q10" s="49"/>
      <c r="R10" s="49"/>
      <c r="S10" s="49"/>
      <c r="T10" s="5"/>
      <c r="U10" s="56" t="s">
        <v>9</v>
      </c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23"/>
    </row>
    <row r="11" spans="1:55" ht="8.1" customHeight="1">
      <c r="A11" s="19"/>
      <c r="B11" s="56"/>
      <c r="C11" s="56"/>
      <c r="D11" s="56"/>
      <c r="E11" s="56"/>
      <c r="F11" s="56"/>
      <c r="G11" s="56"/>
      <c r="H11" s="56"/>
      <c r="I11" s="15"/>
      <c r="J11" s="60"/>
      <c r="K11" s="60"/>
      <c r="L11" s="57"/>
      <c r="M11" s="57"/>
      <c r="N11" s="15"/>
      <c r="O11" s="5"/>
      <c r="P11" s="49"/>
      <c r="Q11" s="49"/>
      <c r="R11" s="49"/>
      <c r="S11" s="49"/>
      <c r="T11" s="5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23"/>
    </row>
    <row r="12" spans="1:55" ht="8.1" customHeight="1">
      <c r="A12" s="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8.1" customHeight="1">
      <c r="A13" s="19"/>
      <c r="B13" s="56" t="s">
        <v>10</v>
      </c>
      <c r="C13" s="56"/>
      <c r="D13" s="56"/>
      <c r="E13" s="56"/>
      <c r="F13" s="56"/>
      <c r="G13" s="56"/>
      <c r="H13" s="56"/>
      <c r="I13" s="56"/>
      <c r="J13" s="56"/>
      <c r="K13" s="56"/>
      <c r="L13" s="49"/>
      <c r="M13" s="49"/>
      <c r="N13" s="49"/>
      <c r="O13" s="5"/>
      <c r="P13" s="49" t="s">
        <v>11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5"/>
      <c r="AS13" s="49" t="s">
        <v>12</v>
      </c>
      <c r="AT13" s="49"/>
      <c r="AU13" s="49"/>
      <c r="AV13" s="49"/>
      <c r="AW13" s="49"/>
      <c r="AX13" s="49"/>
      <c r="AY13" s="49"/>
      <c r="AZ13" s="49"/>
      <c r="BA13" s="49"/>
      <c r="BB13" s="49"/>
      <c r="BC13" s="22"/>
    </row>
    <row r="14" spans="1:55" ht="8.1" customHeight="1">
      <c r="A14" s="1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8"/>
      <c r="M14" s="58"/>
      <c r="N14" s="58"/>
      <c r="O14" s="5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"/>
      <c r="AS14" s="49"/>
      <c r="AT14" s="49"/>
      <c r="AU14" s="49"/>
      <c r="AV14" s="49"/>
      <c r="AW14" s="49"/>
      <c r="AX14" s="49"/>
      <c r="AY14" s="58"/>
      <c r="AZ14" s="58"/>
      <c r="BA14" s="58"/>
      <c r="BB14" s="58"/>
      <c r="BC14" s="22"/>
    </row>
    <row r="15" spans="1:55" ht="8.1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8.1" customHeight="1">
      <c r="A16" s="19"/>
      <c r="B16" s="54" t="s">
        <v>13</v>
      </c>
      <c r="C16" s="54"/>
      <c r="D16" s="54"/>
      <c r="E16" s="54"/>
      <c r="F16" s="54"/>
      <c r="G16" s="54"/>
      <c r="H16" s="54"/>
      <c r="I16" s="54"/>
      <c r="J16" s="54" t="s">
        <v>14</v>
      </c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"/>
      <c r="AE16" s="5"/>
      <c r="AF16" s="5"/>
      <c r="AG16" s="5"/>
      <c r="AH16" s="54" t="s">
        <v>15</v>
      </c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"/>
      <c r="AU16" s="54" t="s">
        <v>16</v>
      </c>
      <c r="AV16" s="54"/>
      <c r="AW16" s="54"/>
      <c r="AX16" s="54"/>
      <c r="AY16" s="54"/>
      <c r="AZ16" s="54"/>
      <c r="BA16" s="54"/>
      <c r="BB16" s="54"/>
      <c r="BC16" s="24"/>
    </row>
    <row r="17" spans="1:55" ht="8.1" customHeight="1">
      <c r="A17" s="19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"/>
      <c r="AE17" s="5"/>
      <c r="AF17" s="5"/>
      <c r="AG17" s="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"/>
      <c r="AU17" s="54"/>
      <c r="AV17" s="54"/>
      <c r="AW17" s="54"/>
      <c r="AX17" s="54"/>
      <c r="AY17" s="54"/>
      <c r="AZ17" s="54"/>
      <c r="BA17" s="54"/>
      <c r="BB17" s="54"/>
      <c r="BC17" s="24"/>
    </row>
    <row r="18" spans="1:55" ht="8.1" customHeight="1">
      <c r="A18" s="19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"/>
      <c r="AE18" s="5"/>
      <c r="AF18" s="5"/>
      <c r="AG18" s="5"/>
      <c r="AH18" s="62" t="s">
        <v>1</v>
      </c>
      <c r="AI18" s="62"/>
      <c r="AJ18" s="62"/>
      <c r="AK18" s="62"/>
      <c r="AL18" s="62" t="s">
        <v>26</v>
      </c>
      <c r="AM18" s="62"/>
      <c r="AN18" s="62"/>
      <c r="AO18" s="62"/>
      <c r="AP18" s="62" t="s">
        <v>27</v>
      </c>
      <c r="AQ18" s="62"/>
      <c r="AR18" s="62"/>
      <c r="AS18" s="62"/>
      <c r="AT18" s="5"/>
      <c r="AU18" s="54"/>
      <c r="AV18" s="54"/>
      <c r="AW18" s="54"/>
      <c r="AX18" s="54"/>
      <c r="AY18" s="54"/>
      <c r="AZ18" s="54"/>
      <c r="BA18" s="54"/>
      <c r="BB18" s="54"/>
      <c r="BC18" s="24"/>
    </row>
    <row r="19" spans="1:55" ht="8.1" customHeight="1">
      <c r="A19" s="19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"/>
      <c r="AE19" s="5"/>
      <c r="AF19" s="5"/>
      <c r="AG19" s="5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5"/>
      <c r="AU19" s="54"/>
      <c r="AV19" s="54"/>
      <c r="AW19" s="54"/>
      <c r="AX19" s="54"/>
      <c r="AY19" s="54"/>
      <c r="AZ19" s="54"/>
      <c r="BA19" s="54"/>
      <c r="BB19" s="54"/>
      <c r="BC19" s="24"/>
    </row>
    <row r="20" spans="1:55" ht="8.1" customHeight="1">
      <c r="A20" s="19"/>
      <c r="B20" s="54" t="s">
        <v>2</v>
      </c>
      <c r="C20" s="54"/>
      <c r="D20" s="54"/>
      <c r="E20" s="54"/>
      <c r="F20" s="54"/>
      <c r="G20" s="54"/>
      <c r="H20" s="54"/>
      <c r="I20" s="54"/>
      <c r="J20" s="63" t="s">
        <v>29</v>
      </c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5"/>
      <c r="AE20" s="61" t="s">
        <v>21</v>
      </c>
      <c r="AF20" s="61"/>
      <c r="AG20" s="61"/>
      <c r="AH20" s="62">
        <v>18</v>
      </c>
      <c r="AI20" s="62"/>
      <c r="AJ20" s="62"/>
      <c r="AK20" s="62"/>
      <c r="AL20" s="62">
        <v>18</v>
      </c>
      <c r="AM20" s="62"/>
      <c r="AN20" s="62"/>
      <c r="AO20" s="62"/>
      <c r="AP20" s="62">
        <v>18</v>
      </c>
      <c r="AQ20" s="62"/>
      <c r="AR20" s="62"/>
      <c r="AS20" s="62"/>
      <c r="AT20" s="11"/>
      <c r="AU20" s="11"/>
      <c r="AV20" s="11"/>
      <c r="AW20" s="11"/>
      <c r="AX20" s="11"/>
      <c r="AY20" s="11"/>
      <c r="AZ20" s="11"/>
      <c r="BA20" s="11"/>
      <c r="BB20" s="11"/>
      <c r="BC20" s="22"/>
    </row>
    <row r="21" spans="1:55" ht="8.1" customHeight="1">
      <c r="A21" s="19"/>
      <c r="B21" s="54"/>
      <c r="C21" s="54"/>
      <c r="D21" s="54"/>
      <c r="E21" s="54"/>
      <c r="F21" s="54"/>
      <c r="G21" s="54"/>
      <c r="H21" s="54"/>
      <c r="I21" s="54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5"/>
      <c r="AE21" s="61" t="s">
        <v>17</v>
      </c>
      <c r="AF21" s="61"/>
      <c r="AG21" s="61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11"/>
      <c r="AU21" s="62"/>
      <c r="AV21" s="62"/>
      <c r="AW21" s="62"/>
      <c r="AX21" s="62"/>
      <c r="AY21" s="62"/>
      <c r="AZ21" s="62"/>
      <c r="BA21" s="62"/>
      <c r="BB21" s="62"/>
      <c r="BC21" s="25"/>
    </row>
    <row r="22" spans="1:55" ht="8.1" customHeight="1">
      <c r="A22" s="19"/>
      <c r="B22" s="54" t="s">
        <v>3</v>
      </c>
      <c r="C22" s="54"/>
      <c r="D22" s="54"/>
      <c r="E22" s="54"/>
      <c r="F22" s="54"/>
      <c r="G22" s="54"/>
      <c r="H22" s="54"/>
      <c r="I22" s="54"/>
      <c r="J22" s="63" t="s">
        <v>30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5"/>
      <c r="AE22" s="61" t="s">
        <v>21</v>
      </c>
      <c r="AF22" s="61"/>
      <c r="AG22" s="61"/>
      <c r="AH22" s="62">
        <v>7</v>
      </c>
      <c r="AI22" s="62"/>
      <c r="AJ22" s="62"/>
      <c r="AK22" s="62"/>
      <c r="AL22" s="62">
        <v>7</v>
      </c>
      <c r="AM22" s="62"/>
      <c r="AN22" s="62"/>
      <c r="AO22" s="62"/>
      <c r="AP22" s="62">
        <v>7</v>
      </c>
      <c r="AQ22" s="62"/>
      <c r="AR22" s="62"/>
      <c r="AS22" s="62"/>
      <c r="AT22" s="11"/>
      <c r="AU22" s="11"/>
      <c r="AV22" s="11"/>
      <c r="AW22" s="11"/>
      <c r="AX22" s="11"/>
      <c r="AY22" s="11"/>
      <c r="AZ22" s="11"/>
      <c r="BA22" s="11"/>
      <c r="BB22" s="11"/>
      <c r="BC22" s="22"/>
    </row>
    <row r="23" spans="1:55" ht="8.1" customHeight="1">
      <c r="A23" s="19"/>
      <c r="B23" s="54"/>
      <c r="C23" s="54"/>
      <c r="D23" s="54"/>
      <c r="E23" s="54"/>
      <c r="F23" s="54"/>
      <c r="G23" s="54"/>
      <c r="H23" s="54"/>
      <c r="I23" s="54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5"/>
      <c r="AE23" s="61" t="s">
        <v>17</v>
      </c>
      <c r="AF23" s="61"/>
      <c r="AG23" s="61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11"/>
      <c r="AU23" s="62"/>
      <c r="AV23" s="62"/>
      <c r="AW23" s="62"/>
      <c r="AX23" s="62"/>
      <c r="AY23" s="62"/>
      <c r="AZ23" s="62"/>
      <c r="BA23" s="62"/>
      <c r="BB23" s="62"/>
      <c r="BC23" s="25"/>
    </row>
    <row r="24" spans="1:55" ht="8.1" customHeight="1">
      <c r="A24" s="19"/>
      <c r="B24" s="54" t="s">
        <v>4</v>
      </c>
      <c r="C24" s="54"/>
      <c r="D24" s="54"/>
      <c r="E24" s="54"/>
      <c r="F24" s="54"/>
      <c r="G24" s="54"/>
      <c r="H24" s="54"/>
      <c r="I24" s="54"/>
      <c r="J24" s="63" t="s">
        <v>31</v>
      </c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5"/>
      <c r="AE24" s="61" t="s">
        <v>21</v>
      </c>
      <c r="AF24" s="61"/>
      <c r="AG24" s="61"/>
      <c r="AH24" s="62">
        <v>3</v>
      </c>
      <c r="AI24" s="62"/>
      <c r="AJ24" s="62"/>
      <c r="AK24" s="62"/>
      <c r="AL24" s="62">
        <v>3</v>
      </c>
      <c r="AM24" s="62"/>
      <c r="AN24" s="62"/>
      <c r="AO24" s="62"/>
      <c r="AP24" s="62">
        <v>3</v>
      </c>
      <c r="AQ24" s="62"/>
      <c r="AR24" s="62"/>
      <c r="AS24" s="62"/>
      <c r="AT24" s="11"/>
      <c r="AU24" s="11"/>
      <c r="AV24" s="11"/>
      <c r="AW24" s="11"/>
      <c r="AX24" s="11"/>
      <c r="AY24" s="11"/>
      <c r="AZ24" s="11"/>
      <c r="BA24" s="11"/>
      <c r="BB24" s="11"/>
      <c r="BC24" s="22"/>
    </row>
    <row r="25" spans="1:55" ht="8.1" customHeight="1">
      <c r="A25" s="19"/>
      <c r="B25" s="54"/>
      <c r="C25" s="54"/>
      <c r="D25" s="54"/>
      <c r="E25" s="54"/>
      <c r="F25" s="54"/>
      <c r="G25" s="54"/>
      <c r="H25" s="54"/>
      <c r="I25" s="54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5"/>
      <c r="AE25" s="61" t="s">
        <v>17</v>
      </c>
      <c r="AF25" s="61"/>
      <c r="AG25" s="61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11"/>
      <c r="AU25" s="62"/>
      <c r="AV25" s="62"/>
      <c r="AW25" s="62"/>
      <c r="AX25" s="62"/>
      <c r="AY25" s="62"/>
      <c r="AZ25" s="62"/>
      <c r="BA25" s="62"/>
      <c r="BB25" s="62"/>
      <c r="BC25" s="25"/>
    </row>
    <row r="26" spans="1:55" ht="8.1" customHeight="1">
      <c r="A26" s="19"/>
      <c r="B26" s="54" t="s">
        <v>5</v>
      </c>
      <c r="C26" s="54"/>
      <c r="D26" s="54"/>
      <c r="E26" s="54"/>
      <c r="F26" s="54"/>
      <c r="G26" s="54"/>
      <c r="H26" s="54"/>
      <c r="I26" s="54"/>
      <c r="J26" s="63" t="s">
        <v>32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5"/>
      <c r="AE26" s="61" t="s">
        <v>21</v>
      </c>
      <c r="AF26" s="61"/>
      <c r="AG26" s="61"/>
      <c r="AH26" s="62">
        <v>3.3</v>
      </c>
      <c r="AI26" s="62"/>
      <c r="AJ26" s="62"/>
      <c r="AK26" s="62"/>
      <c r="AL26" s="62">
        <v>3.3</v>
      </c>
      <c r="AM26" s="62"/>
      <c r="AN26" s="62"/>
      <c r="AO26" s="62"/>
      <c r="AP26" s="62">
        <v>3.4</v>
      </c>
      <c r="AQ26" s="62"/>
      <c r="AR26" s="62"/>
      <c r="AS26" s="62"/>
      <c r="AT26" s="11"/>
      <c r="AU26" s="11"/>
      <c r="AV26" s="11"/>
      <c r="AW26" s="11"/>
      <c r="AX26" s="11"/>
      <c r="AY26" s="11"/>
      <c r="AZ26" s="11"/>
      <c r="BA26" s="11"/>
      <c r="BB26" s="11"/>
      <c r="BC26" s="22"/>
    </row>
    <row r="27" spans="1:55" ht="8.1" customHeight="1">
      <c r="A27" s="19"/>
      <c r="B27" s="54"/>
      <c r="C27" s="54"/>
      <c r="D27" s="54"/>
      <c r="E27" s="54"/>
      <c r="F27" s="54"/>
      <c r="G27" s="54"/>
      <c r="H27" s="54"/>
      <c r="I27" s="54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5"/>
      <c r="AE27" s="61" t="s">
        <v>17</v>
      </c>
      <c r="AF27" s="61"/>
      <c r="AG27" s="61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11"/>
      <c r="AU27" s="62"/>
      <c r="AV27" s="62"/>
      <c r="AW27" s="62"/>
      <c r="AX27" s="62"/>
      <c r="AY27" s="62"/>
      <c r="AZ27" s="62"/>
      <c r="BA27" s="62"/>
      <c r="BB27" s="62"/>
      <c r="BC27" s="25"/>
    </row>
    <row r="28" spans="1:55" ht="8.1" customHeight="1">
      <c r="A28" s="19"/>
      <c r="B28" s="54" t="s">
        <v>6</v>
      </c>
      <c r="C28" s="54"/>
      <c r="D28" s="54"/>
      <c r="E28" s="54"/>
      <c r="F28" s="54"/>
      <c r="G28" s="54"/>
      <c r="H28" s="54"/>
      <c r="I28" s="54"/>
      <c r="J28" s="63" t="s">
        <v>33</v>
      </c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5"/>
      <c r="AE28" s="61" t="s">
        <v>21</v>
      </c>
      <c r="AF28" s="61"/>
      <c r="AG28" s="61"/>
      <c r="AH28" s="62">
        <v>2</v>
      </c>
      <c r="AI28" s="62"/>
      <c r="AJ28" s="62"/>
      <c r="AK28" s="62"/>
      <c r="AL28" s="62">
        <v>2</v>
      </c>
      <c r="AM28" s="62"/>
      <c r="AN28" s="62"/>
      <c r="AO28" s="62"/>
      <c r="AP28" s="62">
        <v>2</v>
      </c>
      <c r="AQ28" s="62"/>
      <c r="AR28" s="62"/>
      <c r="AS28" s="62"/>
      <c r="AT28" s="11"/>
      <c r="AU28" s="11"/>
      <c r="AV28" s="11"/>
      <c r="AW28" s="11"/>
      <c r="AX28" s="11"/>
      <c r="AY28" s="11"/>
      <c r="AZ28" s="11"/>
      <c r="BA28" s="11"/>
      <c r="BB28" s="11"/>
      <c r="BC28" s="22"/>
    </row>
    <row r="29" spans="1:55" ht="8.1" customHeight="1">
      <c r="A29" s="19"/>
      <c r="B29" s="54"/>
      <c r="C29" s="54"/>
      <c r="D29" s="54"/>
      <c r="E29" s="54"/>
      <c r="F29" s="54"/>
      <c r="G29" s="54"/>
      <c r="H29" s="54"/>
      <c r="I29" s="54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5"/>
      <c r="AE29" s="61" t="s">
        <v>17</v>
      </c>
      <c r="AF29" s="61"/>
      <c r="AG29" s="61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11"/>
      <c r="AU29" s="62"/>
      <c r="AV29" s="62"/>
      <c r="AW29" s="62"/>
      <c r="AX29" s="62"/>
      <c r="AY29" s="62"/>
      <c r="AZ29" s="62"/>
      <c r="BA29" s="62"/>
      <c r="BB29" s="62"/>
      <c r="BC29" s="25"/>
    </row>
    <row r="30" spans="1:55" ht="8.1" customHeight="1">
      <c r="A30" s="19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"/>
      <c r="AE30" s="61" t="s">
        <v>21</v>
      </c>
      <c r="AF30" s="61"/>
      <c r="AG30" s="61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11"/>
      <c r="AU30" s="11"/>
      <c r="AV30" s="11"/>
      <c r="AW30" s="11"/>
      <c r="AX30" s="11"/>
      <c r="AY30" s="11"/>
      <c r="AZ30" s="11"/>
      <c r="BA30" s="11"/>
      <c r="BB30" s="11"/>
      <c r="BC30" s="22"/>
    </row>
    <row r="31" spans="1:55" ht="8.1" customHeight="1">
      <c r="A31" s="19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"/>
      <c r="AE31" s="61" t="s">
        <v>17</v>
      </c>
      <c r="AF31" s="61"/>
      <c r="AG31" s="61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11"/>
      <c r="AU31" s="62"/>
      <c r="AV31" s="62"/>
      <c r="AW31" s="62"/>
      <c r="AX31" s="62"/>
      <c r="AY31" s="62"/>
      <c r="AZ31" s="62"/>
      <c r="BA31" s="62"/>
      <c r="BB31" s="62"/>
      <c r="BC31" s="25"/>
    </row>
    <row r="32" spans="1:55" ht="8.1" customHeight="1">
      <c r="A32" s="19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"/>
      <c r="AE32" s="61" t="s">
        <v>21</v>
      </c>
      <c r="AF32" s="61"/>
      <c r="AG32" s="61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11"/>
      <c r="AU32" s="11"/>
      <c r="AV32" s="11"/>
      <c r="AW32" s="11"/>
      <c r="AX32" s="11"/>
      <c r="AY32" s="11"/>
      <c r="AZ32" s="11"/>
      <c r="BA32" s="11"/>
      <c r="BB32" s="11"/>
      <c r="BC32" s="22"/>
    </row>
    <row r="33" spans="1:55" ht="8.1" customHeight="1">
      <c r="A33" s="19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"/>
      <c r="AE33" s="61" t="s">
        <v>17</v>
      </c>
      <c r="AF33" s="61"/>
      <c r="AG33" s="61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11"/>
      <c r="AU33" s="62"/>
      <c r="AV33" s="62"/>
      <c r="AW33" s="62"/>
      <c r="AX33" s="62"/>
      <c r="AY33" s="62"/>
      <c r="AZ33" s="62"/>
      <c r="BA33" s="62"/>
      <c r="BB33" s="62"/>
      <c r="BC33" s="25"/>
    </row>
    <row r="34" spans="1:55" ht="8.1" customHeight="1">
      <c r="A34" s="19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"/>
      <c r="AE34" s="61" t="s">
        <v>21</v>
      </c>
      <c r="AF34" s="61"/>
      <c r="AG34" s="61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11"/>
      <c r="AU34" s="11"/>
      <c r="AV34" s="11"/>
      <c r="AW34" s="11"/>
      <c r="AX34" s="11"/>
      <c r="AY34" s="11"/>
      <c r="AZ34" s="11"/>
      <c r="BA34" s="11"/>
      <c r="BB34" s="11"/>
      <c r="BC34" s="22"/>
    </row>
    <row r="35" spans="1:55" ht="8.1" customHeight="1">
      <c r="A35" s="19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"/>
      <c r="AE35" s="61" t="s">
        <v>17</v>
      </c>
      <c r="AF35" s="61"/>
      <c r="AG35" s="61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11"/>
      <c r="AU35" s="62"/>
      <c r="AV35" s="62"/>
      <c r="AW35" s="62"/>
      <c r="AX35" s="62"/>
      <c r="AY35" s="62"/>
      <c r="AZ35" s="62"/>
      <c r="BA35" s="62"/>
      <c r="BB35" s="62"/>
      <c r="BC35" s="25"/>
    </row>
    <row r="36" spans="1:55" ht="8.1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22"/>
    </row>
    <row r="37" spans="1:55" ht="8.1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61" t="s">
        <v>21</v>
      </c>
      <c r="AF37" s="61"/>
      <c r="AG37" s="61"/>
      <c r="AH37" s="62">
        <f>SUM(AH20+AH22+AH24+AH26+AH28)</f>
        <v>33.299999999999997</v>
      </c>
      <c r="AI37" s="62"/>
      <c r="AJ37" s="62"/>
      <c r="AK37" s="62"/>
      <c r="AL37" s="62">
        <f>SUM(AL20+AL22+AL24+AL26+AL28)</f>
        <v>33.299999999999997</v>
      </c>
      <c r="AM37" s="62"/>
      <c r="AN37" s="62"/>
      <c r="AO37" s="62"/>
      <c r="AP37" s="62">
        <f>SUM(AP20+AP22+AP24+AP26+AP28)</f>
        <v>33.4</v>
      </c>
      <c r="AQ37" s="62"/>
      <c r="AR37" s="62"/>
      <c r="AS37" s="62"/>
      <c r="AT37" s="11"/>
      <c r="AU37" s="65">
        <f>SUM(AH37:AS38)</f>
        <v>100</v>
      </c>
      <c r="AV37" s="65"/>
      <c r="AW37" s="65"/>
      <c r="AX37" s="65"/>
      <c r="AY37" s="65"/>
      <c r="AZ37" s="65"/>
      <c r="BA37" s="65"/>
      <c r="BB37" s="65"/>
      <c r="BC37" s="22"/>
    </row>
    <row r="38" spans="1:55" ht="8.1" customHeight="1">
      <c r="A38" s="1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9"/>
      <c r="Y38" s="9"/>
      <c r="Z38" s="67" t="s">
        <v>18</v>
      </c>
      <c r="AA38" s="67"/>
      <c r="AB38" s="67"/>
      <c r="AC38" s="67"/>
      <c r="AD38" s="4"/>
      <c r="AE38" s="61"/>
      <c r="AF38" s="61"/>
      <c r="AG38" s="61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14"/>
      <c r="AU38" s="66"/>
      <c r="AV38" s="66"/>
      <c r="AW38" s="66"/>
      <c r="AX38" s="66"/>
      <c r="AY38" s="66"/>
      <c r="AZ38" s="66"/>
      <c r="BA38" s="66"/>
      <c r="BB38" s="66"/>
      <c r="BC38" s="22"/>
    </row>
    <row r="39" spans="1:55" ht="8.1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9"/>
      <c r="Y39" s="9"/>
      <c r="Z39" s="67"/>
      <c r="AA39" s="67"/>
      <c r="AB39" s="67"/>
      <c r="AC39" s="67"/>
      <c r="AD39" s="5"/>
      <c r="AE39" s="61" t="s">
        <v>17</v>
      </c>
      <c r="AF39" s="61"/>
      <c r="AG39" s="61"/>
      <c r="AH39" s="62">
        <f>SUM(AH21+AH23+AH25+AH27+AH29)</f>
        <v>0</v>
      </c>
      <c r="AI39" s="62"/>
      <c r="AJ39" s="62"/>
      <c r="AK39" s="62"/>
      <c r="AL39" s="62">
        <f>SUM(AL21+AL23+AL25+AL27+AL29)</f>
        <v>0</v>
      </c>
      <c r="AM39" s="62"/>
      <c r="AN39" s="62"/>
      <c r="AO39" s="62"/>
      <c r="AP39" s="62">
        <f>SUM(AP21+AP23+AP25+AP27+AP29)</f>
        <v>0</v>
      </c>
      <c r="AQ39" s="62"/>
      <c r="AR39" s="62"/>
      <c r="AS39" s="62"/>
      <c r="AT39" s="5"/>
      <c r="AU39" s="64"/>
      <c r="AV39" s="64"/>
      <c r="AW39" s="64"/>
      <c r="AX39" s="64"/>
      <c r="AY39" s="64"/>
      <c r="AZ39" s="64"/>
      <c r="BA39" s="64"/>
      <c r="BB39" s="64"/>
      <c r="BC39" s="22"/>
    </row>
    <row r="40" spans="1:55" ht="8.1" customHeight="1">
      <c r="A40" s="1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61"/>
      <c r="AF40" s="61"/>
      <c r="AG40" s="61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4"/>
      <c r="AU40" s="58"/>
      <c r="AV40" s="58"/>
      <c r="AW40" s="58"/>
      <c r="AX40" s="58"/>
      <c r="AY40" s="58"/>
      <c r="AZ40" s="58"/>
      <c r="BA40" s="58"/>
      <c r="BB40" s="58"/>
      <c r="BC40" s="22"/>
    </row>
    <row r="41" spans="1:55" ht="8.1" customHeight="1">
      <c r="A41" s="1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2"/>
    </row>
    <row r="42" spans="1:55" ht="8.1" customHeight="1">
      <c r="A42" s="19"/>
      <c r="B42" s="68" t="s">
        <v>20</v>
      </c>
      <c r="C42" s="54"/>
      <c r="D42" s="54"/>
      <c r="E42" s="54"/>
      <c r="F42" s="54"/>
      <c r="G42" s="54"/>
      <c r="H42" s="54"/>
      <c r="I42" s="54"/>
      <c r="J42" s="54" t="s">
        <v>19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"/>
      <c r="AE42" s="5"/>
      <c r="AF42" s="5"/>
      <c r="AG42" s="5"/>
      <c r="AH42" s="54" t="s">
        <v>15</v>
      </c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"/>
      <c r="AU42" s="54" t="s">
        <v>16</v>
      </c>
      <c r="AV42" s="54"/>
      <c r="AW42" s="54"/>
      <c r="AX42" s="54"/>
      <c r="AY42" s="54"/>
      <c r="AZ42" s="54"/>
      <c r="BA42" s="54"/>
      <c r="BB42" s="54"/>
      <c r="BC42" s="24"/>
    </row>
    <row r="43" spans="1:55" ht="8.1" customHeight="1">
      <c r="A43" s="19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"/>
      <c r="AE43" s="5"/>
      <c r="AF43" s="5"/>
      <c r="AG43" s="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"/>
      <c r="AU43" s="54"/>
      <c r="AV43" s="54"/>
      <c r="AW43" s="54"/>
      <c r="AX43" s="54"/>
      <c r="AY43" s="54"/>
      <c r="AZ43" s="54"/>
      <c r="BA43" s="54"/>
      <c r="BB43" s="54"/>
      <c r="BC43" s="24"/>
    </row>
    <row r="44" spans="1:55" ht="8.1" customHeight="1">
      <c r="A44" s="19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"/>
      <c r="AE44" s="5"/>
      <c r="AF44" s="5"/>
      <c r="AG44" s="5"/>
      <c r="AH44" s="62" t="s">
        <v>1</v>
      </c>
      <c r="AI44" s="62"/>
      <c r="AJ44" s="62"/>
      <c r="AK44" s="62"/>
      <c r="AL44" s="62" t="s">
        <v>26</v>
      </c>
      <c r="AM44" s="62"/>
      <c r="AN44" s="62"/>
      <c r="AO44" s="62"/>
      <c r="AP44" s="62" t="s">
        <v>27</v>
      </c>
      <c r="AQ44" s="62"/>
      <c r="AR44" s="62"/>
      <c r="AS44" s="62"/>
      <c r="AT44" s="5"/>
      <c r="AU44" s="54"/>
      <c r="AV44" s="54"/>
      <c r="AW44" s="54"/>
      <c r="AX44" s="54"/>
      <c r="AY44" s="54"/>
      <c r="AZ44" s="54"/>
      <c r="BA44" s="54"/>
      <c r="BB44" s="54"/>
      <c r="BC44" s="24"/>
    </row>
    <row r="45" spans="1:55" ht="8.1" customHeight="1">
      <c r="A45" s="19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"/>
      <c r="AE45" s="5"/>
      <c r="AF45" s="5"/>
      <c r="AG45" s="5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5"/>
      <c r="AU45" s="54"/>
      <c r="AV45" s="54"/>
      <c r="AW45" s="54"/>
      <c r="AX45" s="54"/>
      <c r="AY45" s="54"/>
      <c r="AZ45" s="54"/>
      <c r="BA45" s="54"/>
      <c r="BB45" s="54"/>
      <c r="BC45" s="24"/>
    </row>
    <row r="46" spans="1:55" ht="8.1" customHeight="1">
      <c r="A46" s="19"/>
      <c r="B46" s="54" t="s">
        <v>2</v>
      </c>
      <c r="C46" s="54"/>
      <c r="D46" s="54"/>
      <c r="E46" s="54"/>
      <c r="F46" s="54">
        <v>1</v>
      </c>
      <c r="G46" s="54"/>
      <c r="H46" s="54"/>
      <c r="I46" s="54"/>
      <c r="J46" s="63" t="s">
        <v>34</v>
      </c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5"/>
      <c r="AE46" s="61" t="s">
        <v>21</v>
      </c>
      <c r="AF46" s="61"/>
      <c r="AG46" s="61"/>
      <c r="AH46" s="62">
        <v>18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11"/>
      <c r="AU46" s="11"/>
      <c r="AV46" s="11"/>
      <c r="AW46" s="11"/>
      <c r="AX46" s="11"/>
      <c r="AY46" s="11"/>
      <c r="AZ46" s="11"/>
      <c r="BA46" s="11"/>
      <c r="BB46" s="11"/>
      <c r="BC46" s="22"/>
    </row>
    <row r="47" spans="1:55" ht="8.1" customHeight="1">
      <c r="A47" s="19"/>
      <c r="B47" s="54"/>
      <c r="C47" s="54"/>
      <c r="D47" s="54"/>
      <c r="E47" s="54"/>
      <c r="F47" s="54"/>
      <c r="G47" s="54"/>
      <c r="H47" s="54"/>
      <c r="I47" s="54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5"/>
      <c r="AE47" s="61" t="s">
        <v>17</v>
      </c>
      <c r="AF47" s="61"/>
      <c r="AG47" s="61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11"/>
      <c r="AU47" s="62"/>
      <c r="AV47" s="62"/>
      <c r="AW47" s="62"/>
      <c r="AX47" s="62"/>
      <c r="AY47" s="62"/>
      <c r="AZ47" s="62"/>
      <c r="BA47" s="62"/>
      <c r="BB47" s="62"/>
      <c r="BC47" s="25"/>
    </row>
    <row r="48" spans="1:55" ht="8.1" customHeight="1">
      <c r="A48" s="19"/>
      <c r="B48" s="54" t="s">
        <v>2</v>
      </c>
      <c r="C48" s="54"/>
      <c r="D48" s="54"/>
      <c r="E48" s="54"/>
      <c r="F48" s="54">
        <v>2</v>
      </c>
      <c r="G48" s="54"/>
      <c r="H48" s="54"/>
      <c r="I48" s="54"/>
      <c r="J48" s="63" t="s">
        <v>39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5"/>
      <c r="AE48" s="61" t="s">
        <v>21</v>
      </c>
      <c r="AF48" s="61"/>
      <c r="AG48" s="61"/>
      <c r="AH48" s="62"/>
      <c r="AI48" s="62"/>
      <c r="AJ48" s="62"/>
      <c r="AK48" s="62"/>
      <c r="AL48" s="62">
        <v>18</v>
      </c>
      <c r="AM48" s="62"/>
      <c r="AN48" s="62"/>
      <c r="AO48" s="62"/>
      <c r="AP48" s="62"/>
      <c r="AQ48" s="62"/>
      <c r="AR48" s="62"/>
      <c r="AS48" s="62"/>
      <c r="AT48" s="11"/>
      <c r="AU48" s="11"/>
      <c r="AV48" s="11"/>
      <c r="AW48" s="11"/>
      <c r="AX48" s="11"/>
      <c r="AY48" s="11"/>
      <c r="AZ48" s="11"/>
      <c r="BA48" s="11"/>
      <c r="BB48" s="11"/>
      <c r="BC48" s="22"/>
    </row>
    <row r="49" spans="1:55" ht="8.1" customHeight="1">
      <c r="A49" s="19"/>
      <c r="B49" s="54"/>
      <c r="C49" s="54"/>
      <c r="D49" s="54"/>
      <c r="E49" s="54"/>
      <c r="F49" s="54"/>
      <c r="G49" s="54"/>
      <c r="H49" s="54"/>
      <c r="I49" s="54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5"/>
      <c r="AE49" s="61" t="s">
        <v>17</v>
      </c>
      <c r="AF49" s="61"/>
      <c r="AG49" s="61"/>
      <c r="AH49" s="62"/>
      <c r="AI49" s="62"/>
      <c r="AJ49" s="62"/>
      <c r="AK49" s="62"/>
      <c r="AL49" s="62">
        <f>SUM('A-Main Dimension'!AX54:BB55)</f>
        <v>0</v>
      </c>
      <c r="AM49" s="62"/>
      <c r="AN49" s="62"/>
      <c r="AO49" s="62"/>
      <c r="AP49" s="62"/>
      <c r="AQ49" s="62"/>
      <c r="AR49" s="62"/>
      <c r="AS49" s="62"/>
      <c r="AT49" s="11"/>
      <c r="AU49" s="62"/>
      <c r="AV49" s="62"/>
      <c r="AW49" s="62"/>
      <c r="AX49" s="62"/>
      <c r="AY49" s="62"/>
      <c r="AZ49" s="62"/>
      <c r="BA49" s="62"/>
      <c r="BB49" s="62"/>
      <c r="BC49" s="25"/>
    </row>
    <row r="50" spans="1:55" ht="8.1" customHeight="1">
      <c r="A50" s="19"/>
      <c r="B50" s="54" t="s">
        <v>2</v>
      </c>
      <c r="C50" s="54"/>
      <c r="D50" s="54"/>
      <c r="E50" s="54"/>
      <c r="F50" s="54">
        <v>3</v>
      </c>
      <c r="G50" s="54"/>
      <c r="H50" s="54"/>
      <c r="I50" s="54"/>
      <c r="J50" s="63" t="s">
        <v>40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5"/>
      <c r="AE50" s="61" t="s">
        <v>21</v>
      </c>
      <c r="AF50" s="61"/>
      <c r="AG50" s="61"/>
      <c r="AH50" s="62"/>
      <c r="AI50" s="62"/>
      <c r="AJ50" s="62"/>
      <c r="AK50" s="62"/>
      <c r="AL50" s="62"/>
      <c r="AM50" s="62"/>
      <c r="AN50" s="62"/>
      <c r="AO50" s="62"/>
      <c r="AP50" s="62">
        <v>18</v>
      </c>
      <c r="AQ50" s="62"/>
      <c r="AR50" s="62"/>
      <c r="AS50" s="62"/>
      <c r="AT50" s="11"/>
      <c r="AU50" s="11"/>
      <c r="AV50" s="11"/>
      <c r="AW50" s="11"/>
      <c r="AX50" s="11"/>
      <c r="AY50" s="11"/>
      <c r="AZ50" s="11"/>
      <c r="BA50" s="11"/>
      <c r="BB50" s="11"/>
      <c r="BC50" s="22"/>
    </row>
    <row r="51" spans="1:55" ht="8.1" customHeight="1">
      <c r="A51" s="19"/>
      <c r="B51" s="54"/>
      <c r="C51" s="54"/>
      <c r="D51" s="54"/>
      <c r="E51" s="54"/>
      <c r="F51" s="54"/>
      <c r="G51" s="54"/>
      <c r="H51" s="54"/>
      <c r="I51" s="54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5"/>
      <c r="AE51" s="61" t="s">
        <v>17</v>
      </c>
      <c r="AF51" s="61"/>
      <c r="AG51" s="61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11"/>
      <c r="AU51" s="62"/>
      <c r="AV51" s="62"/>
      <c r="AW51" s="62"/>
      <c r="AX51" s="62"/>
      <c r="AY51" s="62"/>
      <c r="AZ51" s="62"/>
      <c r="BA51" s="62"/>
      <c r="BB51" s="62"/>
      <c r="BC51" s="25"/>
    </row>
    <row r="52" spans="1:55" ht="8.1" customHeight="1">
      <c r="A52" s="19"/>
      <c r="B52" s="54" t="s">
        <v>3</v>
      </c>
      <c r="C52" s="54"/>
      <c r="D52" s="54"/>
      <c r="E52" s="54"/>
      <c r="F52" s="54">
        <v>1</v>
      </c>
      <c r="G52" s="54"/>
      <c r="H52" s="54"/>
      <c r="I52" s="54"/>
      <c r="J52" s="63" t="s">
        <v>35</v>
      </c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5"/>
      <c r="AE52" s="61" t="s">
        <v>21</v>
      </c>
      <c r="AF52" s="61"/>
      <c r="AG52" s="61"/>
      <c r="AH52" s="62">
        <v>7</v>
      </c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11"/>
      <c r="AU52" s="11"/>
      <c r="AV52" s="11"/>
      <c r="AW52" s="11"/>
      <c r="AX52" s="11"/>
      <c r="AY52" s="11"/>
      <c r="AZ52" s="11"/>
      <c r="BA52" s="11"/>
      <c r="BB52" s="11"/>
      <c r="BC52" s="22"/>
    </row>
    <row r="53" spans="1:55" ht="8.1" customHeight="1">
      <c r="A53" s="19"/>
      <c r="B53" s="54"/>
      <c r="C53" s="54"/>
      <c r="D53" s="54"/>
      <c r="E53" s="54"/>
      <c r="F53" s="54"/>
      <c r="G53" s="54"/>
      <c r="H53" s="54"/>
      <c r="I53" s="54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5"/>
      <c r="AE53" s="61" t="s">
        <v>17</v>
      </c>
      <c r="AF53" s="61"/>
      <c r="AG53" s="61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11"/>
      <c r="AU53" s="62"/>
      <c r="AV53" s="62"/>
      <c r="AW53" s="62"/>
      <c r="AX53" s="62"/>
      <c r="AY53" s="62"/>
      <c r="AZ53" s="62"/>
      <c r="BA53" s="62"/>
      <c r="BB53" s="62"/>
      <c r="BC53" s="25"/>
    </row>
    <row r="54" spans="1:55" ht="8.1" customHeight="1">
      <c r="A54" s="19"/>
      <c r="B54" s="54" t="s">
        <v>3</v>
      </c>
      <c r="C54" s="54"/>
      <c r="D54" s="54"/>
      <c r="E54" s="54"/>
      <c r="F54" s="54">
        <v>2</v>
      </c>
      <c r="G54" s="54"/>
      <c r="H54" s="54"/>
      <c r="I54" s="54"/>
      <c r="J54" s="63" t="s">
        <v>41</v>
      </c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5"/>
      <c r="AE54" s="61" t="s">
        <v>21</v>
      </c>
      <c r="AF54" s="61"/>
      <c r="AG54" s="61"/>
      <c r="AH54" s="62"/>
      <c r="AI54" s="62"/>
      <c r="AJ54" s="62"/>
      <c r="AK54" s="62"/>
      <c r="AL54" s="62">
        <v>7</v>
      </c>
      <c r="AM54" s="62"/>
      <c r="AN54" s="62"/>
      <c r="AO54" s="62"/>
      <c r="AP54" s="62"/>
      <c r="AQ54" s="62"/>
      <c r="AR54" s="62"/>
      <c r="AS54" s="62"/>
      <c r="AT54" s="11"/>
      <c r="AU54" s="11"/>
      <c r="AV54" s="11"/>
      <c r="AW54" s="11"/>
      <c r="AX54" s="11"/>
      <c r="AY54" s="11"/>
      <c r="AZ54" s="11"/>
      <c r="BA54" s="11"/>
      <c r="BB54" s="11"/>
      <c r="BC54" s="22"/>
    </row>
    <row r="55" spans="1:55" ht="8.1" customHeight="1">
      <c r="A55" s="19"/>
      <c r="B55" s="54"/>
      <c r="C55" s="54"/>
      <c r="D55" s="54"/>
      <c r="E55" s="54"/>
      <c r="F55" s="54"/>
      <c r="G55" s="54"/>
      <c r="H55" s="54"/>
      <c r="I55" s="54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5"/>
      <c r="AE55" s="61" t="s">
        <v>17</v>
      </c>
      <c r="AF55" s="61"/>
      <c r="AG55" s="61"/>
      <c r="AH55" s="62"/>
      <c r="AI55" s="62"/>
      <c r="AJ55" s="62"/>
      <c r="AK55" s="62"/>
      <c r="AL55" s="62">
        <f>SUM('B-Secundary Dimension'!AX54:BB55)</f>
        <v>0</v>
      </c>
      <c r="AM55" s="62"/>
      <c r="AN55" s="62"/>
      <c r="AO55" s="62"/>
      <c r="AP55" s="62"/>
      <c r="AQ55" s="62"/>
      <c r="AR55" s="62"/>
      <c r="AS55" s="62"/>
      <c r="AT55" s="11"/>
      <c r="AU55" s="62"/>
      <c r="AV55" s="62"/>
      <c r="AW55" s="62"/>
      <c r="AX55" s="62"/>
      <c r="AY55" s="62"/>
      <c r="AZ55" s="62"/>
      <c r="BA55" s="62"/>
      <c r="BB55" s="62"/>
      <c r="BC55" s="25"/>
    </row>
    <row r="56" spans="1:55" ht="8.1" customHeight="1">
      <c r="A56" s="19"/>
      <c r="B56" s="54" t="s">
        <v>3</v>
      </c>
      <c r="C56" s="54"/>
      <c r="D56" s="54"/>
      <c r="E56" s="54"/>
      <c r="F56" s="54">
        <v>3</v>
      </c>
      <c r="G56" s="54"/>
      <c r="H56" s="54"/>
      <c r="I56" s="54"/>
      <c r="J56" s="63" t="s">
        <v>42</v>
      </c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5"/>
      <c r="AE56" s="61" t="s">
        <v>21</v>
      </c>
      <c r="AF56" s="61"/>
      <c r="AG56" s="61"/>
      <c r="AH56" s="62"/>
      <c r="AI56" s="62"/>
      <c r="AJ56" s="62"/>
      <c r="AK56" s="62"/>
      <c r="AL56" s="62"/>
      <c r="AM56" s="62"/>
      <c r="AN56" s="62"/>
      <c r="AO56" s="62"/>
      <c r="AP56" s="62">
        <v>7</v>
      </c>
      <c r="AQ56" s="62"/>
      <c r="AR56" s="62"/>
      <c r="AS56" s="62"/>
      <c r="AT56" s="11"/>
      <c r="AU56" s="11"/>
      <c r="AV56" s="11"/>
      <c r="AW56" s="11"/>
      <c r="AX56" s="11"/>
      <c r="AY56" s="11"/>
      <c r="AZ56" s="11"/>
      <c r="BA56" s="11"/>
      <c r="BB56" s="11"/>
      <c r="BC56" s="22"/>
    </row>
    <row r="57" spans="1:55" ht="8.1" customHeight="1">
      <c r="A57" s="19"/>
      <c r="B57" s="54"/>
      <c r="C57" s="54"/>
      <c r="D57" s="54"/>
      <c r="E57" s="54"/>
      <c r="F57" s="54"/>
      <c r="G57" s="54"/>
      <c r="H57" s="54"/>
      <c r="I57" s="54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5"/>
      <c r="AE57" s="61" t="s">
        <v>17</v>
      </c>
      <c r="AF57" s="61"/>
      <c r="AG57" s="61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11"/>
      <c r="AU57" s="62"/>
      <c r="AV57" s="62"/>
      <c r="AW57" s="62"/>
      <c r="AX57" s="62"/>
      <c r="AY57" s="62"/>
      <c r="AZ57" s="62"/>
      <c r="BA57" s="62"/>
      <c r="BB57" s="62"/>
      <c r="BC57" s="25"/>
    </row>
    <row r="58" spans="1:55" ht="8.1" customHeight="1">
      <c r="A58" s="19"/>
      <c r="B58" s="54" t="s">
        <v>4</v>
      </c>
      <c r="C58" s="54"/>
      <c r="D58" s="54"/>
      <c r="E58" s="54"/>
      <c r="F58" s="54">
        <v>1</v>
      </c>
      <c r="G58" s="54"/>
      <c r="H58" s="54"/>
      <c r="I58" s="54"/>
      <c r="J58" s="63" t="s">
        <v>36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5"/>
      <c r="AE58" s="61" t="s">
        <v>21</v>
      </c>
      <c r="AF58" s="61"/>
      <c r="AG58" s="61"/>
      <c r="AH58" s="62">
        <v>3</v>
      </c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11"/>
      <c r="AU58" s="11"/>
      <c r="AV58" s="11"/>
      <c r="AW58" s="11"/>
      <c r="AX58" s="11"/>
      <c r="AY58" s="11"/>
      <c r="AZ58" s="11"/>
      <c r="BA58" s="11"/>
      <c r="BB58" s="11"/>
      <c r="BC58" s="22"/>
    </row>
    <row r="59" spans="1:55" ht="8.1" customHeight="1">
      <c r="A59" s="19"/>
      <c r="B59" s="54"/>
      <c r="C59" s="54"/>
      <c r="D59" s="54"/>
      <c r="E59" s="54"/>
      <c r="F59" s="54"/>
      <c r="G59" s="54"/>
      <c r="H59" s="54"/>
      <c r="I59" s="54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5"/>
      <c r="AE59" s="61" t="s">
        <v>17</v>
      </c>
      <c r="AF59" s="61"/>
      <c r="AG59" s="61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11"/>
      <c r="AU59" s="62"/>
      <c r="AV59" s="62"/>
      <c r="AW59" s="62"/>
      <c r="AX59" s="62"/>
      <c r="AY59" s="62"/>
      <c r="AZ59" s="62"/>
      <c r="BA59" s="62"/>
      <c r="BB59" s="62"/>
      <c r="BC59" s="25"/>
    </row>
    <row r="60" spans="1:55" ht="8.1" customHeight="1">
      <c r="A60" s="19"/>
      <c r="B60" s="54" t="s">
        <v>4</v>
      </c>
      <c r="C60" s="54"/>
      <c r="D60" s="54"/>
      <c r="E60" s="54"/>
      <c r="F60" s="54">
        <v>2</v>
      </c>
      <c r="G60" s="54"/>
      <c r="H60" s="54"/>
      <c r="I60" s="54"/>
      <c r="J60" s="63" t="s">
        <v>43</v>
      </c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5"/>
      <c r="AE60" s="61" t="s">
        <v>21</v>
      </c>
      <c r="AF60" s="61"/>
      <c r="AG60" s="61"/>
      <c r="AH60" s="62"/>
      <c r="AI60" s="62"/>
      <c r="AJ60" s="62"/>
      <c r="AK60" s="62"/>
      <c r="AL60" s="62">
        <v>3</v>
      </c>
      <c r="AM60" s="62"/>
      <c r="AN60" s="62"/>
      <c r="AO60" s="62"/>
      <c r="AP60" s="62"/>
      <c r="AQ60" s="62"/>
      <c r="AR60" s="62"/>
      <c r="AS60" s="62"/>
      <c r="AT60" s="11"/>
      <c r="AU60" s="11"/>
      <c r="AV60" s="11"/>
      <c r="AW60" s="11"/>
      <c r="AX60" s="11"/>
      <c r="AY60" s="11"/>
      <c r="AZ60" s="11"/>
      <c r="BA60" s="11"/>
      <c r="BB60" s="11"/>
      <c r="BC60" s="22"/>
    </row>
    <row r="61" spans="1:55" ht="8.1" customHeight="1">
      <c r="A61" s="19"/>
      <c r="B61" s="54"/>
      <c r="C61" s="54"/>
      <c r="D61" s="54"/>
      <c r="E61" s="54"/>
      <c r="F61" s="54"/>
      <c r="G61" s="54"/>
      <c r="H61" s="54"/>
      <c r="I61" s="54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5"/>
      <c r="AE61" s="61" t="s">
        <v>17</v>
      </c>
      <c r="AF61" s="61"/>
      <c r="AG61" s="61"/>
      <c r="AH61" s="62"/>
      <c r="AI61" s="62"/>
      <c r="AJ61" s="62"/>
      <c r="AK61" s="62"/>
      <c r="AL61" s="62">
        <f>SUM('C-Surface Quality'!AX54:BB55)</f>
        <v>0</v>
      </c>
      <c r="AM61" s="62"/>
      <c r="AN61" s="62"/>
      <c r="AO61" s="62"/>
      <c r="AP61" s="62"/>
      <c r="AQ61" s="62"/>
      <c r="AR61" s="62"/>
      <c r="AS61" s="62"/>
      <c r="AT61" s="11"/>
      <c r="AU61" s="62"/>
      <c r="AV61" s="62"/>
      <c r="AW61" s="62"/>
      <c r="AX61" s="62"/>
      <c r="AY61" s="62"/>
      <c r="AZ61" s="62"/>
      <c r="BA61" s="62"/>
      <c r="BB61" s="62"/>
      <c r="BC61" s="25"/>
    </row>
    <row r="62" spans="1:55" ht="8.1" customHeight="1">
      <c r="A62" s="19"/>
      <c r="B62" s="54" t="s">
        <v>4</v>
      </c>
      <c r="C62" s="54"/>
      <c r="D62" s="54"/>
      <c r="E62" s="54"/>
      <c r="F62" s="54">
        <v>3</v>
      </c>
      <c r="G62" s="54"/>
      <c r="H62" s="54"/>
      <c r="I62" s="54"/>
      <c r="J62" s="63" t="s">
        <v>44</v>
      </c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5"/>
      <c r="AE62" s="61" t="s">
        <v>21</v>
      </c>
      <c r="AF62" s="61"/>
      <c r="AG62" s="61"/>
      <c r="AH62" s="62"/>
      <c r="AI62" s="62"/>
      <c r="AJ62" s="62"/>
      <c r="AK62" s="62"/>
      <c r="AL62" s="62"/>
      <c r="AM62" s="62"/>
      <c r="AN62" s="62"/>
      <c r="AO62" s="62"/>
      <c r="AP62" s="62">
        <v>3</v>
      </c>
      <c r="AQ62" s="62"/>
      <c r="AR62" s="62"/>
      <c r="AS62" s="62"/>
      <c r="AT62" s="11"/>
      <c r="AU62" s="11"/>
      <c r="AV62" s="11"/>
      <c r="AW62" s="11"/>
      <c r="AX62" s="11"/>
      <c r="AY62" s="11"/>
      <c r="AZ62" s="11"/>
      <c r="BA62" s="11"/>
      <c r="BB62" s="11"/>
      <c r="BC62" s="22"/>
    </row>
    <row r="63" spans="1:55" ht="8.1" customHeight="1">
      <c r="A63" s="19"/>
      <c r="B63" s="54"/>
      <c r="C63" s="54"/>
      <c r="D63" s="54"/>
      <c r="E63" s="54"/>
      <c r="F63" s="54"/>
      <c r="G63" s="54"/>
      <c r="H63" s="54"/>
      <c r="I63" s="54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5"/>
      <c r="AE63" s="61" t="s">
        <v>17</v>
      </c>
      <c r="AF63" s="61"/>
      <c r="AG63" s="61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11"/>
      <c r="AU63" s="62"/>
      <c r="AV63" s="62"/>
      <c r="AW63" s="62"/>
      <c r="AX63" s="62"/>
      <c r="AY63" s="62"/>
      <c r="AZ63" s="62"/>
      <c r="BA63" s="62"/>
      <c r="BB63" s="62"/>
      <c r="BC63" s="25"/>
    </row>
    <row r="64" spans="1:55" ht="8.1" customHeight="1">
      <c r="A64" s="19"/>
      <c r="B64" s="54" t="s">
        <v>5</v>
      </c>
      <c r="C64" s="54"/>
      <c r="D64" s="54"/>
      <c r="E64" s="54"/>
      <c r="F64" s="54">
        <v>1</v>
      </c>
      <c r="G64" s="54"/>
      <c r="H64" s="54"/>
      <c r="I64" s="54"/>
      <c r="J64" s="63" t="s">
        <v>37</v>
      </c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5"/>
      <c r="AE64" s="61" t="s">
        <v>21</v>
      </c>
      <c r="AF64" s="61"/>
      <c r="AG64" s="61"/>
      <c r="AH64" s="62">
        <v>3.3</v>
      </c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11"/>
      <c r="AU64" s="11"/>
      <c r="AV64" s="11"/>
      <c r="AW64" s="11"/>
      <c r="AX64" s="11"/>
      <c r="AY64" s="11"/>
      <c r="AZ64" s="11"/>
      <c r="BA64" s="11"/>
      <c r="BB64" s="11"/>
      <c r="BC64" s="22"/>
    </row>
    <row r="65" spans="1:55" ht="8.1" customHeight="1">
      <c r="A65" s="19"/>
      <c r="B65" s="54"/>
      <c r="C65" s="54"/>
      <c r="D65" s="54"/>
      <c r="E65" s="54"/>
      <c r="F65" s="54"/>
      <c r="G65" s="54"/>
      <c r="H65" s="54"/>
      <c r="I65" s="54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5"/>
      <c r="AE65" s="61" t="s">
        <v>17</v>
      </c>
      <c r="AF65" s="61"/>
      <c r="AG65" s="61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11"/>
      <c r="AU65" s="62"/>
      <c r="AV65" s="62"/>
      <c r="AW65" s="62"/>
      <c r="AX65" s="62"/>
      <c r="AY65" s="62"/>
      <c r="AZ65" s="62"/>
      <c r="BA65" s="62"/>
      <c r="BB65" s="62"/>
      <c r="BC65" s="25"/>
    </row>
    <row r="66" spans="1:55" ht="8.1" customHeight="1">
      <c r="A66" s="19"/>
      <c r="B66" s="54" t="s">
        <v>5</v>
      </c>
      <c r="C66" s="54"/>
      <c r="D66" s="54"/>
      <c r="E66" s="54"/>
      <c r="F66" s="54">
        <v>2</v>
      </c>
      <c r="G66" s="54"/>
      <c r="H66" s="54"/>
      <c r="I66" s="54"/>
      <c r="J66" s="63" t="s">
        <v>45</v>
      </c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5"/>
      <c r="AE66" s="61" t="s">
        <v>21</v>
      </c>
      <c r="AF66" s="61"/>
      <c r="AG66" s="61"/>
      <c r="AH66" s="62"/>
      <c r="AI66" s="62"/>
      <c r="AJ66" s="62"/>
      <c r="AK66" s="62"/>
      <c r="AL66" s="62">
        <v>3.3</v>
      </c>
      <c r="AM66" s="62"/>
      <c r="AN66" s="62"/>
      <c r="AO66" s="62"/>
      <c r="AP66" s="62"/>
      <c r="AQ66" s="62"/>
      <c r="AR66" s="62"/>
      <c r="AS66" s="62"/>
      <c r="AT66" s="11"/>
      <c r="AU66" s="11"/>
      <c r="AV66" s="11"/>
      <c r="AW66" s="11"/>
      <c r="AX66" s="11"/>
      <c r="AY66" s="11"/>
      <c r="AZ66" s="11"/>
      <c r="BA66" s="11"/>
      <c r="BB66" s="11"/>
      <c r="BC66" s="22"/>
    </row>
    <row r="67" spans="1:55" ht="8.1" customHeight="1">
      <c r="A67" s="19"/>
      <c r="B67" s="54"/>
      <c r="C67" s="54"/>
      <c r="D67" s="54"/>
      <c r="E67" s="54"/>
      <c r="F67" s="54"/>
      <c r="G67" s="54"/>
      <c r="H67" s="54"/>
      <c r="I67" s="54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5"/>
      <c r="AE67" s="61" t="s">
        <v>17</v>
      </c>
      <c r="AF67" s="61"/>
      <c r="AG67" s="61"/>
      <c r="AH67" s="62"/>
      <c r="AI67" s="62"/>
      <c r="AJ67" s="62"/>
      <c r="AK67" s="62"/>
      <c r="AL67" s="62">
        <f>SUM('D-conformity'!AW55:BA56)</f>
        <v>0</v>
      </c>
      <c r="AM67" s="62"/>
      <c r="AN67" s="62"/>
      <c r="AO67" s="62"/>
      <c r="AP67" s="62"/>
      <c r="AQ67" s="62"/>
      <c r="AR67" s="62"/>
      <c r="AS67" s="62"/>
      <c r="AT67" s="11"/>
      <c r="AU67" s="62"/>
      <c r="AV67" s="62"/>
      <c r="AW67" s="62"/>
      <c r="AX67" s="62"/>
      <c r="AY67" s="62"/>
      <c r="AZ67" s="62"/>
      <c r="BA67" s="62"/>
      <c r="BB67" s="62"/>
      <c r="BC67" s="25"/>
    </row>
    <row r="68" spans="1:55" ht="8.1" customHeight="1">
      <c r="A68" s="19"/>
      <c r="B68" s="54" t="s">
        <v>5</v>
      </c>
      <c r="C68" s="54"/>
      <c r="D68" s="54"/>
      <c r="E68" s="54"/>
      <c r="F68" s="54">
        <v>3</v>
      </c>
      <c r="G68" s="54"/>
      <c r="H68" s="54"/>
      <c r="I68" s="54"/>
      <c r="J68" s="63" t="s">
        <v>46</v>
      </c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5"/>
      <c r="AE68" s="61" t="s">
        <v>21</v>
      </c>
      <c r="AF68" s="61"/>
      <c r="AG68" s="61"/>
      <c r="AH68" s="62"/>
      <c r="AI68" s="62"/>
      <c r="AJ68" s="62"/>
      <c r="AK68" s="62"/>
      <c r="AL68" s="62"/>
      <c r="AM68" s="62"/>
      <c r="AN68" s="62"/>
      <c r="AO68" s="62"/>
      <c r="AP68" s="62">
        <v>3.4</v>
      </c>
      <c r="AQ68" s="62"/>
      <c r="AR68" s="62"/>
      <c r="AS68" s="62"/>
      <c r="AT68" s="11"/>
      <c r="AU68" s="11"/>
      <c r="AV68" s="11"/>
      <c r="AW68" s="11"/>
      <c r="AX68" s="11"/>
      <c r="AY68" s="11"/>
      <c r="AZ68" s="11"/>
      <c r="BA68" s="11"/>
      <c r="BB68" s="11"/>
      <c r="BC68" s="22"/>
    </row>
    <row r="69" spans="1:55" ht="8.1" customHeight="1">
      <c r="A69" s="19"/>
      <c r="B69" s="54"/>
      <c r="C69" s="54"/>
      <c r="D69" s="54"/>
      <c r="E69" s="54"/>
      <c r="F69" s="54"/>
      <c r="G69" s="54"/>
      <c r="H69" s="54"/>
      <c r="I69" s="54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5"/>
      <c r="AE69" s="61" t="s">
        <v>17</v>
      </c>
      <c r="AF69" s="61"/>
      <c r="AG69" s="61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11"/>
      <c r="AU69" s="62"/>
      <c r="AV69" s="62"/>
      <c r="AW69" s="62"/>
      <c r="AX69" s="62"/>
      <c r="AY69" s="62"/>
      <c r="AZ69" s="62"/>
      <c r="BA69" s="62"/>
      <c r="BB69" s="62"/>
      <c r="BC69" s="25"/>
    </row>
    <row r="70" spans="1:55" ht="8.1" customHeight="1">
      <c r="A70" s="19"/>
      <c r="B70" s="54" t="s">
        <v>6</v>
      </c>
      <c r="C70" s="54"/>
      <c r="D70" s="54"/>
      <c r="E70" s="54"/>
      <c r="F70" s="54">
        <v>1</v>
      </c>
      <c r="G70" s="54"/>
      <c r="H70" s="54"/>
      <c r="I70" s="54"/>
      <c r="J70" s="63" t="s">
        <v>38</v>
      </c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5"/>
      <c r="AE70" s="61" t="s">
        <v>21</v>
      </c>
      <c r="AF70" s="61"/>
      <c r="AG70" s="61"/>
      <c r="AH70" s="62">
        <v>2</v>
      </c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11"/>
      <c r="AU70" s="11"/>
      <c r="AV70" s="11"/>
      <c r="AW70" s="11"/>
      <c r="AX70" s="11"/>
      <c r="AY70" s="11"/>
      <c r="AZ70" s="11"/>
      <c r="BA70" s="11"/>
      <c r="BB70" s="11"/>
      <c r="BC70" s="22"/>
    </row>
    <row r="71" spans="1:55" ht="8.1" customHeight="1">
      <c r="A71" s="19"/>
      <c r="B71" s="54"/>
      <c r="C71" s="54"/>
      <c r="D71" s="54"/>
      <c r="E71" s="54"/>
      <c r="F71" s="54"/>
      <c r="G71" s="54"/>
      <c r="H71" s="54"/>
      <c r="I71" s="54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5"/>
      <c r="AE71" s="61" t="s">
        <v>17</v>
      </c>
      <c r="AF71" s="61"/>
      <c r="AG71" s="61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11"/>
      <c r="AU71" s="62"/>
      <c r="AV71" s="62"/>
      <c r="AW71" s="62"/>
      <c r="AX71" s="62"/>
      <c r="AY71" s="62"/>
      <c r="AZ71" s="62"/>
      <c r="BA71" s="62"/>
      <c r="BB71" s="62"/>
      <c r="BC71" s="25"/>
    </row>
    <row r="72" spans="1:55" ht="8.1" customHeight="1">
      <c r="A72" s="19"/>
      <c r="B72" s="54" t="s">
        <v>6</v>
      </c>
      <c r="C72" s="54"/>
      <c r="D72" s="54"/>
      <c r="E72" s="54"/>
      <c r="F72" s="54">
        <v>2</v>
      </c>
      <c r="G72" s="54"/>
      <c r="H72" s="54"/>
      <c r="I72" s="54"/>
      <c r="J72" s="63" t="s">
        <v>47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5"/>
      <c r="AE72" s="61" t="s">
        <v>21</v>
      </c>
      <c r="AF72" s="61"/>
      <c r="AG72" s="61"/>
      <c r="AH72" s="62"/>
      <c r="AI72" s="62"/>
      <c r="AJ72" s="62"/>
      <c r="AK72" s="62"/>
      <c r="AL72" s="62">
        <v>2</v>
      </c>
      <c r="AM72" s="62"/>
      <c r="AN72" s="62"/>
      <c r="AO72" s="62"/>
      <c r="AP72" s="62"/>
      <c r="AQ72" s="62"/>
      <c r="AR72" s="62"/>
      <c r="AS72" s="62"/>
      <c r="AT72" s="11"/>
      <c r="AU72" s="11"/>
      <c r="AV72" s="11"/>
      <c r="AW72" s="11"/>
      <c r="AX72" s="11"/>
      <c r="AY72" s="11"/>
      <c r="AZ72" s="11"/>
      <c r="BA72" s="11"/>
      <c r="BB72" s="11"/>
      <c r="BC72" s="22"/>
    </row>
    <row r="73" spans="1:55" ht="8.1" customHeight="1">
      <c r="A73" s="19"/>
      <c r="B73" s="54"/>
      <c r="C73" s="54"/>
      <c r="D73" s="54"/>
      <c r="E73" s="54"/>
      <c r="F73" s="54"/>
      <c r="G73" s="54"/>
      <c r="H73" s="54"/>
      <c r="I73" s="54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5"/>
      <c r="AE73" s="61" t="s">
        <v>17</v>
      </c>
      <c r="AF73" s="61"/>
      <c r="AG73" s="61"/>
      <c r="AH73" s="62"/>
      <c r="AI73" s="62"/>
      <c r="AJ73" s="62"/>
      <c r="AK73" s="62"/>
      <c r="AL73" s="62">
        <f>SUM('E-additional material '!AX54:BB55)</f>
        <v>2</v>
      </c>
      <c r="AM73" s="62"/>
      <c r="AN73" s="62"/>
      <c r="AO73" s="62"/>
      <c r="AP73" s="62"/>
      <c r="AQ73" s="62"/>
      <c r="AR73" s="62"/>
      <c r="AS73" s="62"/>
      <c r="AT73" s="11"/>
      <c r="AU73" s="62"/>
      <c r="AV73" s="62"/>
      <c r="AW73" s="62"/>
      <c r="AX73" s="62"/>
      <c r="AY73" s="62"/>
      <c r="AZ73" s="62"/>
      <c r="BA73" s="62"/>
      <c r="BB73" s="62"/>
      <c r="BC73" s="25"/>
    </row>
    <row r="74" spans="1:55" ht="8.1" customHeight="1">
      <c r="A74" s="19"/>
      <c r="B74" s="54" t="s">
        <v>6</v>
      </c>
      <c r="C74" s="54"/>
      <c r="D74" s="54"/>
      <c r="E74" s="54"/>
      <c r="F74" s="54">
        <v>3</v>
      </c>
      <c r="G74" s="54"/>
      <c r="H74" s="54"/>
      <c r="I74" s="54"/>
      <c r="J74" s="63" t="s">
        <v>48</v>
      </c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5"/>
      <c r="AE74" s="61" t="s">
        <v>21</v>
      </c>
      <c r="AF74" s="61"/>
      <c r="AG74" s="61"/>
      <c r="AH74" s="62"/>
      <c r="AI74" s="62"/>
      <c r="AJ74" s="62"/>
      <c r="AK74" s="62"/>
      <c r="AL74" s="62"/>
      <c r="AM74" s="62"/>
      <c r="AN74" s="62"/>
      <c r="AO74" s="62"/>
      <c r="AP74" s="62">
        <v>2</v>
      </c>
      <c r="AQ74" s="62"/>
      <c r="AR74" s="62"/>
      <c r="AS74" s="62"/>
      <c r="AT74" s="11"/>
      <c r="AU74" s="11"/>
      <c r="AV74" s="11"/>
      <c r="AW74" s="11"/>
      <c r="AX74" s="11"/>
      <c r="AY74" s="11"/>
      <c r="AZ74" s="11"/>
      <c r="BA74" s="11"/>
      <c r="BB74" s="11"/>
      <c r="BC74" s="22"/>
    </row>
    <row r="75" spans="1:55" ht="8.1" customHeight="1">
      <c r="A75" s="19"/>
      <c r="B75" s="54"/>
      <c r="C75" s="54"/>
      <c r="D75" s="54"/>
      <c r="E75" s="54"/>
      <c r="F75" s="54"/>
      <c r="G75" s="54"/>
      <c r="H75" s="54"/>
      <c r="I75" s="54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5"/>
      <c r="AE75" s="61" t="s">
        <v>17</v>
      </c>
      <c r="AF75" s="61"/>
      <c r="AG75" s="61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11"/>
      <c r="AU75" s="62"/>
      <c r="AV75" s="62"/>
      <c r="AW75" s="62"/>
      <c r="AX75" s="62"/>
      <c r="AY75" s="62"/>
      <c r="AZ75" s="62"/>
      <c r="BA75" s="62"/>
      <c r="BB75" s="62"/>
      <c r="BC75" s="25"/>
    </row>
    <row r="76" spans="1:55" ht="8.1" customHeight="1">
      <c r="A76" s="19"/>
      <c r="B76" s="71" t="s">
        <v>22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5"/>
      <c r="Z76" s="2"/>
      <c r="AA76" s="2"/>
      <c r="AB76" s="2"/>
      <c r="AC76" s="2"/>
      <c r="AD76" s="2"/>
      <c r="AE76" s="8"/>
      <c r="AF76" s="8"/>
      <c r="AG76" s="8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2"/>
    </row>
    <row r="77" spans="1:55" ht="8.1" customHeight="1">
      <c r="A77" s="19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5"/>
      <c r="Z77" s="5"/>
      <c r="AA77" s="5"/>
      <c r="AB77" s="5"/>
      <c r="AC77" s="5"/>
      <c r="AD77" s="5"/>
      <c r="AE77" s="61" t="s">
        <v>21</v>
      </c>
      <c r="AF77" s="61"/>
      <c r="AG77" s="61"/>
      <c r="AH77" s="62">
        <f>SUM(AH46+AH52+AH58+AH64+AH70)</f>
        <v>33.299999999999997</v>
      </c>
      <c r="AI77" s="62"/>
      <c r="AJ77" s="62"/>
      <c r="AK77" s="62"/>
      <c r="AL77" s="62">
        <f>SUM(AL48+AL54+AL60+AL66+AL72)</f>
        <v>33.299999999999997</v>
      </c>
      <c r="AM77" s="62"/>
      <c r="AN77" s="62"/>
      <c r="AO77" s="62"/>
      <c r="AP77" s="62">
        <f>SUM(AP50+AP56+AP62+AP68+AP74)</f>
        <v>33.4</v>
      </c>
      <c r="AQ77" s="62"/>
      <c r="AR77" s="62"/>
      <c r="AS77" s="62"/>
      <c r="AT77" s="11"/>
      <c r="AU77" s="65">
        <f>SUM(AH77:AS78)</f>
        <v>100</v>
      </c>
      <c r="AV77" s="65"/>
      <c r="AW77" s="65"/>
      <c r="AX77" s="65"/>
      <c r="AY77" s="65"/>
      <c r="AZ77" s="65"/>
      <c r="BA77" s="65"/>
      <c r="BB77" s="65"/>
      <c r="BC77" s="22"/>
    </row>
    <row r="78" spans="1:55" ht="8.1" customHeight="1">
      <c r="A78" s="19"/>
      <c r="B78" s="71" t="s">
        <v>24</v>
      </c>
      <c r="C78" s="71"/>
      <c r="D78" s="71"/>
      <c r="E78" s="71"/>
      <c r="F78" s="71"/>
      <c r="G78" s="71"/>
      <c r="H78" s="71"/>
      <c r="I78" s="71"/>
      <c r="J78" s="71"/>
      <c r="K78" s="71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10"/>
      <c r="Z78" s="67" t="s">
        <v>18</v>
      </c>
      <c r="AA78" s="67"/>
      <c r="AB78" s="67"/>
      <c r="AC78" s="67"/>
      <c r="AD78" s="4"/>
      <c r="AE78" s="61"/>
      <c r="AF78" s="61"/>
      <c r="AG78" s="61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14"/>
      <c r="AU78" s="66"/>
      <c r="AV78" s="66"/>
      <c r="AW78" s="66"/>
      <c r="AX78" s="66"/>
      <c r="AY78" s="66"/>
      <c r="AZ78" s="66"/>
      <c r="BA78" s="66"/>
      <c r="BB78" s="66"/>
      <c r="BC78" s="22"/>
    </row>
    <row r="79" spans="1:55" ht="8.1" customHeight="1">
      <c r="A79" s="19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10"/>
      <c r="Z79" s="67"/>
      <c r="AA79" s="67"/>
      <c r="AB79" s="67"/>
      <c r="AC79" s="67"/>
      <c r="AD79" s="5"/>
      <c r="AE79" s="61" t="s">
        <v>17</v>
      </c>
      <c r="AF79" s="61"/>
      <c r="AG79" s="61"/>
      <c r="AH79" s="62">
        <f>SUM(AH47+AH53+AH59+AH65+AH71)</f>
        <v>0</v>
      </c>
      <c r="AI79" s="62"/>
      <c r="AJ79" s="62"/>
      <c r="AK79" s="62"/>
      <c r="AL79" s="62">
        <f>SUM(AL49+AL55+AL61+AL67+AL73)</f>
        <v>2</v>
      </c>
      <c r="AM79" s="62"/>
      <c r="AN79" s="62"/>
      <c r="AO79" s="62"/>
      <c r="AP79" s="62">
        <f>SUM(AP51+AP57+AP63+AP69+AP75)</f>
        <v>0</v>
      </c>
      <c r="AQ79" s="62"/>
      <c r="AR79" s="62"/>
      <c r="AS79" s="62"/>
      <c r="AT79" s="12"/>
      <c r="AU79" s="69">
        <f>SUM(AH79:AS80)</f>
        <v>2</v>
      </c>
      <c r="AV79" s="69"/>
      <c r="AW79" s="69"/>
      <c r="AX79" s="69"/>
      <c r="AY79" s="69"/>
      <c r="AZ79" s="69"/>
      <c r="BA79" s="69"/>
      <c r="BB79" s="69"/>
      <c r="BC79" s="22"/>
    </row>
    <row r="80" spans="1:55" ht="8.1" customHeight="1">
      <c r="A80" s="19"/>
      <c r="B80" s="71" t="s">
        <v>23</v>
      </c>
      <c r="C80" s="71"/>
      <c r="D80" s="71"/>
      <c r="E80" s="71"/>
      <c r="F80" s="71"/>
      <c r="G80" s="71"/>
      <c r="H80" s="71"/>
      <c r="I80" s="71"/>
      <c r="J80" s="71"/>
      <c r="K80" s="71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5"/>
      <c r="Z80" s="4"/>
      <c r="AA80" s="4"/>
      <c r="AB80" s="4"/>
      <c r="AC80" s="4"/>
      <c r="AD80" s="4"/>
      <c r="AE80" s="61"/>
      <c r="AF80" s="61"/>
      <c r="AG80" s="61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13"/>
      <c r="AU80" s="70"/>
      <c r="AV80" s="70"/>
      <c r="AW80" s="70"/>
      <c r="AX80" s="70"/>
      <c r="AY80" s="70"/>
      <c r="AZ80" s="70"/>
      <c r="BA80" s="70"/>
      <c r="BB80" s="70"/>
      <c r="BC80" s="22"/>
    </row>
    <row r="81" spans="1:55" ht="8.1" customHeight="1">
      <c r="A81" s="19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2"/>
    </row>
    <row r="82" spans="1:55" ht="8.1" customHeight="1">
      <c r="A82" s="19"/>
      <c r="B82" s="71" t="s">
        <v>25</v>
      </c>
      <c r="C82" s="71"/>
      <c r="D82" s="71"/>
      <c r="E82" s="71"/>
      <c r="F82" s="71"/>
      <c r="G82" s="71"/>
      <c r="H82" s="71"/>
      <c r="I82" s="71"/>
      <c r="J82" s="71"/>
      <c r="K82" s="71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2"/>
    </row>
    <row r="83" spans="1:55" ht="8.1" customHeight="1">
      <c r="A83" s="19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2"/>
    </row>
    <row r="84" spans="1:55" ht="8.1" customHeight="1">
      <c r="A84" s="26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8"/>
    </row>
  </sheetData>
  <mergeCells count="329">
    <mergeCell ref="B82:K83"/>
    <mergeCell ref="L82:X83"/>
    <mergeCell ref="L80:X81"/>
    <mergeCell ref="L78:X79"/>
    <mergeCell ref="O76:X77"/>
    <mergeCell ref="B62:E63"/>
    <mergeCell ref="B64:E65"/>
    <mergeCell ref="B66:E67"/>
    <mergeCell ref="B68:E69"/>
    <mergeCell ref="B76:N77"/>
    <mergeCell ref="B78:K79"/>
    <mergeCell ref="J72:AC73"/>
    <mergeCell ref="J62:AC63"/>
    <mergeCell ref="B70:E71"/>
    <mergeCell ref="B72:E73"/>
    <mergeCell ref="B74:E75"/>
    <mergeCell ref="F68:I69"/>
    <mergeCell ref="F70:I71"/>
    <mergeCell ref="F72:I73"/>
    <mergeCell ref="F74:I75"/>
    <mergeCell ref="F62:I63"/>
    <mergeCell ref="F64:I65"/>
    <mergeCell ref="F66:I67"/>
    <mergeCell ref="J68:AC69"/>
    <mergeCell ref="AU79:BB80"/>
    <mergeCell ref="B46:E47"/>
    <mergeCell ref="B48:E49"/>
    <mergeCell ref="B50:E51"/>
    <mergeCell ref="B52:E53"/>
    <mergeCell ref="B54:E55"/>
    <mergeCell ref="B56:E57"/>
    <mergeCell ref="B58:E59"/>
    <mergeCell ref="B60:E61"/>
    <mergeCell ref="B80:K81"/>
    <mergeCell ref="F46:I47"/>
    <mergeCell ref="F48:I49"/>
    <mergeCell ref="F50:I51"/>
    <mergeCell ref="F52:I53"/>
    <mergeCell ref="F54:I55"/>
    <mergeCell ref="F56:I57"/>
    <mergeCell ref="F58:I59"/>
    <mergeCell ref="F60:I61"/>
    <mergeCell ref="J74:AC75"/>
    <mergeCell ref="AE74:AG74"/>
    <mergeCell ref="AH74:AK74"/>
    <mergeCell ref="AL74:AO74"/>
    <mergeCell ref="AP74:AS74"/>
    <mergeCell ref="AE75:AG75"/>
    <mergeCell ref="AE79:AG80"/>
    <mergeCell ref="AH79:AK80"/>
    <mergeCell ref="AL79:AO80"/>
    <mergeCell ref="Z78:AC79"/>
    <mergeCell ref="AP75:AS75"/>
    <mergeCell ref="AE77:AG78"/>
    <mergeCell ref="AH77:AK78"/>
    <mergeCell ref="AL77:AO78"/>
    <mergeCell ref="AP77:AS78"/>
    <mergeCell ref="AP79:AS80"/>
    <mergeCell ref="AL72:AO72"/>
    <mergeCell ref="AP72:AS72"/>
    <mergeCell ref="AE73:AG73"/>
    <mergeCell ref="AH73:AK73"/>
    <mergeCell ref="AL73:AO73"/>
    <mergeCell ref="AP73:AS73"/>
    <mergeCell ref="AE72:AG72"/>
    <mergeCell ref="AH72:AK72"/>
    <mergeCell ref="AU77:BB78"/>
    <mergeCell ref="AU73:BB73"/>
    <mergeCell ref="AU75:BB75"/>
    <mergeCell ref="AH75:AK75"/>
    <mergeCell ref="AL75:AO75"/>
    <mergeCell ref="AU71:BB71"/>
    <mergeCell ref="AL69:AO69"/>
    <mergeCell ref="AP69:AS69"/>
    <mergeCell ref="AU69:BB69"/>
    <mergeCell ref="AL70:AO70"/>
    <mergeCell ref="AP70:AS70"/>
    <mergeCell ref="AH71:AK71"/>
    <mergeCell ref="AL71:AO71"/>
    <mergeCell ref="AP71:AS71"/>
    <mergeCell ref="J70:AC71"/>
    <mergeCell ref="AE70:AG70"/>
    <mergeCell ref="AH70:AK70"/>
    <mergeCell ref="AE71:AG71"/>
    <mergeCell ref="AP64:AS64"/>
    <mergeCell ref="AE65:AG65"/>
    <mergeCell ref="AH65:AK65"/>
    <mergeCell ref="AL65:AO65"/>
    <mergeCell ref="AP65:AS65"/>
    <mergeCell ref="AE64:AG64"/>
    <mergeCell ref="AH64:AK64"/>
    <mergeCell ref="AE68:AG68"/>
    <mergeCell ref="AH68:AK68"/>
    <mergeCell ref="AL68:AO68"/>
    <mergeCell ref="AP68:AS68"/>
    <mergeCell ref="AE69:AG69"/>
    <mergeCell ref="AH69:AK69"/>
    <mergeCell ref="AU65:BB65"/>
    <mergeCell ref="J66:AC67"/>
    <mergeCell ref="AE66:AG66"/>
    <mergeCell ref="AH66:AK66"/>
    <mergeCell ref="AL66:AO66"/>
    <mergeCell ref="AP66:AS66"/>
    <mergeCell ref="AE67:AG67"/>
    <mergeCell ref="AH67:AK67"/>
    <mergeCell ref="AL67:AO67"/>
    <mergeCell ref="J64:AC65"/>
    <mergeCell ref="AU67:BB67"/>
    <mergeCell ref="AP67:AS67"/>
    <mergeCell ref="AL64:AO64"/>
    <mergeCell ref="AE63:AG63"/>
    <mergeCell ref="J56:AC57"/>
    <mergeCell ref="AU59:BB59"/>
    <mergeCell ref="J60:AC61"/>
    <mergeCell ref="AE60:AG60"/>
    <mergeCell ref="AH60:AK60"/>
    <mergeCell ref="AL60:AO60"/>
    <mergeCell ref="AY13:BB14"/>
    <mergeCell ref="AH63:AK63"/>
    <mergeCell ref="AL63:AO63"/>
    <mergeCell ref="AP63:AS63"/>
    <mergeCell ref="AU63:BB63"/>
    <mergeCell ref="AL61:AO61"/>
    <mergeCell ref="AP61:AS61"/>
    <mergeCell ref="AU61:BB61"/>
    <mergeCell ref="AP62:AS62"/>
    <mergeCell ref="AP59:AS59"/>
    <mergeCell ref="AB13:AQ14"/>
    <mergeCell ref="AP60:AS60"/>
    <mergeCell ref="AE61:AG61"/>
    <mergeCell ref="AH61:AK61"/>
    <mergeCell ref="AP58:AS58"/>
    <mergeCell ref="AE59:AG59"/>
    <mergeCell ref="AH59:AK59"/>
    <mergeCell ref="AL59:AO59"/>
    <mergeCell ref="AE62:AG62"/>
    <mergeCell ref="AH62:AK62"/>
    <mergeCell ref="AL62:AO62"/>
    <mergeCell ref="J58:AC59"/>
    <mergeCell ref="AE58:AG58"/>
    <mergeCell ref="AH58:AK58"/>
    <mergeCell ref="AL58:AO58"/>
    <mergeCell ref="AU55:BB55"/>
    <mergeCell ref="AL56:AO56"/>
    <mergeCell ref="AP56:AS56"/>
    <mergeCell ref="AE57:AG57"/>
    <mergeCell ref="AH57:AK57"/>
    <mergeCell ref="AL57:AO57"/>
    <mergeCell ref="AH55:AK55"/>
    <mergeCell ref="AL55:AO55"/>
    <mergeCell ref="AP55:AS55"/>
    <mergeCell ref="J54:AC55"/>
    <mergeCell ref="AE54:AG54"/>
    <mergeCell ref="AH54:AK54"/>
    <mergeCell ref="AL54:AO54"/>
    <mergeCell ref="AP54:AS54"/>
    <mergeCell ref="AP57:AS57"/>
    <mergeCell ref="AE56:AG56"/>
    <mergeCell ref="AP50:AS50"/>
    <mergeCell ref="AE51:AG51"/>
    <mergeCell ref="AH51:AK51"/>
    <mergeCell ref="AL51:AO51"/>
    <mergeCell ref="AP51:AS51"/>
    <mergeCell ref="AE55:AG55"/>
    <mergeCell ref="AE52:AG52"/>
    <mergeCell ref="AH52:AK52"/>
    <mergeCell ref="AL52:AO52"/>
    <mergeCell ref="AP52:AS52"/>
    <mergeCell ref="AH56:AK56"/>
    <mergeCell ref="AU57:BB57"/>
    <mergeCell ref="AU53:BB53"/>
    <mergeCell ref="AE50:AG50"/>
    <mergeCell ref="AH50:AK50"/>
    <mergeCell ref="AL50:AO50"/>
    <mergeCell ref="B42:I45"/>
    <mergeCell ref="J42:AC45"/>
    <mergeCell ref="AE53:AG53"/>
    <mergeCell ref="AH53:AK53"/>
    <mergeCell ref="AL53:AO53"/>
    <mergeCell ref="AU49:BB49"/>
    <mergeCell ref="AE47:AG47"/>
    <mergeCell ref="AU47:BB47"/>
    <mergeCell ref="J46:AC47"/>
    <mergeCell ref="AE46:AG46"/>
    <mergeCell ref="AH46:AK46"/>
    <mergeCell ref="AL46:AO46"/>
    <mergeCell ref="AE48:AG48"/>
    <mergeCell ref="AH48:AK48"/>
    <mergeCell ref="AL48:AO48"/>
    <mergeCell ref="AP48:AS48"/>
    <mergeCell ref="AE49:AG49"/>
    <mergeCell ref="AH49:AK49"/>
    <mergeCell ref="AL49:AO49"/>
    <mergeCell ref="AU51:BB51"/>
    <mergeCell ref="J52:AC53"/>
    <mergeCell ref="AU39:BB40"/>
    <mergeCell ref="AH37:AK38"/>
    <mergeCell ref="AL37:AO38"/>
    <mergeCell ref="AP37:AS38"/>
    <mergeCell ref="AU37:BB38"/>
    <mergeCell ref="AH39:AK40"/>
    <mergeCell ref="AL39:AO40"/>
    <mergeCell ref="AP39:AS40"/>
    <mergeCell ref="AU42:BB45"/>
    <mergeCell ref="AH44:AK45"/>
    <mergeCell ref="AL44:AO45"/>
    <mergeCell ref="AP44:AS45"/>
    <mergeCell ref="Z38:AC39"/>
    <mergeCell ref="AP47:AS47"/>
    <mergeCell ref="AP46:AS46"/>
    <mergeCell ref="AP49:AS49"/>
    <mergeCell ref="J48:AC49"/>
    <mergeCell ref="AE37:AG38"/>
    <mergeCell ref="AE39:AG40"/>
    <mergeCell ref="AP53:AS53"/>
    <mergeCell ref="J50:AC51"/>
    <mergeCell ref="AU21:BB21"/>
    <mergeCell ref="AU27:BB27"/>
    <mergeCell ref="AP20:AS20"/>
    <mergeCell ref="AU23:BB23"/>
    <mergeCell ref="AU25:BB25"/>
    <mergeCell ref="AL26:AO26"/>
    <mergeCell ref="AP26:AS26"/>
    <mergeCell ref="AL27:AO27"/>
    <mergeCell ref="AP27:AS27"/>
    <mergeCell ref="AP24:AS24"/>
    <mergeCell ref="AL23:AO23"/>
    <mergeCell ref="AP31:AS31"/>
    <mergeCell ref="AL30:AO30"/>
    <mergeCell ref="AP30:AS30"/>
    <mergeCell ref="AL24:AO24"/>
    <mergeCell ref="AP29:AS29"/>
    <mergeCell ref="AH42:AS43"/>
    <mergeCell ref="AU29:BB29"/>
    <mergeCell ref="AU31:BB31"/>
    <mergeCell ref="B24:I25"/>
    <mergeCell ref="J24:AC25"/>
    <mergeCell ref="AE24:AG24"/>
    <mergeCell ref="AH24:AK24"/>
    <mergeCell ref="B26:I27"/>
    <mergeCell ref="J26:AC27"/>
    <mergeCell ref="AE26:AG26"/>
    <mergeCell ref="AH26:AK26"/>
    <mergeCell ref="AE27:AG27"/>
    <mergeCell ref="AH27:AK27"/>
    <mergeCell ref="AU33:BB33"/>
    <mergeCell ref="AU35:BB35"/>
    <mergeCell ref="AL31:AO31"/>
    <mergeCell ref="AH33:AK33"/>
    <mergeCell ref="AP32:AS32"/>
    <mergeCell ref="AP34:AS34"/>
    <mergeCell ref="AP35:AS35"/>
    <mergeCell ref="AH25:AK25"/>
    <mergeCell ref="AL25:AO25"/>
    <mergeCell ref="AP25:AS25"/>
    <mergeCell ref="AH35:AK35"/>
    <mergeCell ref="AL35:AO35"/>
    <mergeCell ref="B22:I23"/>
    <mergeCell ref="J22:AC23"/>
    <mergeCell ref="AE22:AG22"/>
    <mergeCell ref="AH22:AK22"/>
    <mergeCell ref="AL22:AO22"/>
    <mergeCell ref="AP22:AS22"/>
    <mergeCell ref="AE23:AG23"/>
    <mergeCell ref="AE25:AG25"/>
    <mergeCell ref="AE35:AG35"/>
    <mergeCell ref="J28:AC29"/>
    <mergeCell ref="AE28:AG28"/>
    <mergeCell ref="AH28:AK28"/>
    <mergeCell ref="AE29:AG29"/>
    <mergeCell ref="AH29:AK29"/>
    <mergeCell ref="AL29:AO29"/>
    <mergeCell ref="AL32:AO32"/>
    <mergeCell ref="AL34:AO34"/>
    <mergeCell ref="J30:AC31"/>
    <mergeCell ref="B20:I21"/>
    <mergeCell ref="AH23:AK23"/>
    <mergeCell ref="AP23:AS23"/>
    <mergeCell ref="J20:AC21"/>
    <mergeCell ref="AE20:AG20"/>
    <mergeCell ref="AH20:AK20"/>
    <mergeCell ref="AL20:AO20"/>
    <mergeCell ref="AE21:AG21"/>
    <mergeCell ref="AH21:AK21"/>
    <mergeCell ref="AL21:AO21"/>
    <mergeCell ref="AP21:AS21"/>
    <mergeCell ref="AE34:AG34"/>
    <mergeCell ref="J32:AC33"/>
    <mergeCell ref="B32:I33"/>
    <mergeCell ref="AH18:AK19"/>
    <mergeCell ref="AL18:AO19"/>
    <mergeCell ref="AP18:AS19"/>
    <mergeCell ref="AH47:AK47"/>
    <mergeCell ref="AL47:AO47"/>
    <mergeCell ref="AP28:AS28"/>
    <mergeCell ref="B28:I29"/>
    <mergeCell ref="B30:I31"/>
    <mergeCell ref="AE30:AG30"/>
    <mergeCell ref="AH30:AK30"/>
    <mergeCell ref="AE31:AG31"/>
    <mergeCell ref="AH31:AK31"/>
    <mergeCell ref="AL28:AO28"/>
    <mergeCell ref="B34:I35"/>
    <mergeCell ref="J34:AC35"/>
    <mergeCell ref="AH34:AK34"/>
    <mergeCell ref="AE32:AG32"/>
    <mergeCell ref="AL33:AO33"/>
    <mergeCell ref="AH32:AK32"/>
    <mergeCell ref="AE33:AG33"/>
    <mergeCell ref="AP33:AS33"/>
    <mergeCell ref="B2:O9"/>
    <mergeCell ref="AU2:BB3"/>
    <mergeCell ref="AU4:BB5"/>
    <mergeCell ref="AU6:BB7"/>
    <mergeCell ref="P3:AT5"/>
    <mergeCell ref="P6:AT8"/>
    <mergeCell ref="J16:AC19"/>
    <mergeCell ref="B16:I19"/>
    <mergeCell ref="AH16:AS17"/>
    <mergeCell ref="AU16:BB19"/>
    <mergeCell ref="L10:M11"/>
    <mergeCell ref="P13:Z14"/>
    <mergeCell ref="L13:N14"/>
    <mergeCell ref="U10:BB11"/>
    <mergeCell ref="AS13:AX14"/>
    <mergeCell ref="B10:H11"/>
    <mergeCell ref="B13:K14"/>
    <mergeCell ref="P10:S11"/>
    <mergeCell ref="J10:K11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BD68"/>
  <sheetViews>
    <sheetView topLeftCell="A39" zoomScale="140" zoomScaleNormal="140" workbookViewId="0">
      <selection activeCell="AG50" sqref="AG50:AN50"/>
    </sheetView>
  </sheetViews>
  <sheetFormatPr defaultRowHeight="14.25"/>
  <cols>
    <col min="1" max="1" width="1" style="1" customWidth="1"/>
    <col min="2" max="46" width="1.5" style="1" customWidth="1"/>
    <col min="47" max="55" width="1.25" style="1" customWidth="1"/>
    <col min="56" max="56" width="9" style="48"/>
    <col min="57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85"/>
      <c r="D2" s="85"/>
      <c r="E2" s="85"/>
      <c r="F2" s="85"/>
      <c r="G2" s="85"/>
      <c r="H2" s="85"/>
      <c r="I2" s="85"/>
      <c r="J2" s="85"/>
      <c r="K2" s="85"/>
      <c r="L2" s="85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85"/>
      <c r="D3" s="85"/>
      <c r="E3" s="85"/>
      <c r="F3" s="85"/>
      <c r="G3" s="85"/>
      <c r="H3" s="85"/>
      <c r="I3" s="85"/>
      <c r="J3" s="85"/>
      <c r="K3" s="85"/>
      <c r="L3" s="85"/>
      <c r="M3" s="83" t="s">
        <v>0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85"/>
      <c r="D4" s="85"/>
      <c r="E4" s="85"/>
      <c r="F4" s="85"/>
      <c r="G4" s="85"/>
      <c r="H4" s="85"/>
      <c r="I4" s="85"/>
      <c r="J4" s="85"/>
      <c r="K4" s="85"/>
      <c r="L4" s="85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85"/>
      <c r="D5" s="85"/>
      <c r="E5" s="85"/>
      <c r="F5" s="85"/>
      <c r="G5" s="85"/>
      <c r="H5" s="85"/>
      <c r="I5" s="85"/>
      <c r="J5" s="85"/>
      <c r="K5" s="85"/>
      <c r="L5" s="85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85"/>
      <c r="D6" s="85"/>
      <c r="E6" s="85"/>
      <c r="F6" s="85"/>
      <c r="G6" s="85"/>
      <c r="H6" s="85"/>
      <c r="I6" s="85"/>
      <c r="J6" s="85"/>
      <c r="K6" s="85"/>
      <c r="L6" s="85"/>
      <c r="M6" s="83" t="s">
        <v>76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85"/>
      <c r="D7" s="85"/>
      <c r="E7" s="85"/>
      <c r="F7" s="85"/>
      <c r="G7" s="85"/>
      <c r="H7" s="85"/>
      <c r="I7" s="85"/>
      <c r="J7" s="85"/>
      <c r="K7" s="85"/>
      <c r="L7" s="85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85"/>
      <c r="D8" s="85"/>
      <c r="E8" s="85"/>
      <c r="F8" s="85"/>
      <c r="G8" s="85"/>
      <c r="H8" s="85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85"/>
      <c r="D9" s="85"/>
      <c r="E9" s="85"/>
      <c r="F9" s="85"/>
      <c r="G9" s="85"/>
      <c r="H9" s="85"/>
      <c r="I9" s="85"/>
      <c r="J9" s="85"/>
      <c r="K9" s="85"/>
      <c r="L9" s="85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49" t="s">
        <v>49</v>
      </c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 t="s">
        <v>2</v>
      </c>
      <c r="AZ10" s="49"/>
      <c r="BA10" s="49"/>
      <c r="BB10" s="49"/>
      <c r="BC10" s="22"/>
    </row>
    <row r="11" spans="1:55" ht="6.95" customHeight="1">
      <c r="A11" s="19"/>
      <c r="B11" s="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58"/>
      <c r="AZ11" s="58"/>
      <c r="BA11" s="58"/>
      <c r="BB11" s="58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6" t="s">
        <v>7</v>
      </c>
      <c r="C13" s="56"/>
      <c r="D13" s="56"/>
      <c r="E13" s="56"/>
      <c r="F13" s="56"/>
      <c r="G13" s="56"/>
      <c r="H13" s="56"/>
      <c r="I13" s="5"/>
      <c r="J13" s="59">
        <v>0</v>
      </c>
      <c r="K13" s="59"/>
      <c r="L13" s="56">
        <v>7</v>
      </c>
      <c r="M13" s="56"/>
      <c r="N13" s="5"/>
      <c r="O13" s="5"/>
      <c r="P13" s="49" t="s">
        <v>8</v>
      </c>
      <c r="Q13" s="49"/>
      <c r="R13" s="49"/>
      <c r="S13" s="49"/>
      <c r="T13" s="5"/>
      <c r="U13" s="56" t="s">
        <v>9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"/>
      <c r="AM13" s="5"/>
      <c r="AN13" s="49" t="s">
        <v>50</v>
      </c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>
        <v>2</v>
      </c>
      <c r="AZ13" s="49"/>
      <c r="BA13" s="49"/>
      <c r="BB13" s="49"/>
      <c r="BC13" s="23"/>
    </row>
    <row r="14" spans="1:55" ht="6.95" customHeight="1">
      <c r="A14" s="19"/>
      <c r="B14" s="56"/>
      <c r="C14" s="56"/>
      <c r="D14" s="56"/>
      <c r="E14" s="56"/>
      <c r="F14" s="56"/>
      <c r="G14" s="56"/>
      <c r="H14" s="56"/>
      <c r="I14" s="15"/>
      <c r="J14" s="60"/>
      <c r="K14" s="60"/>
      <c r="L14" s="57"/>
      <c r="M14" s="57"/>
      <c r="N14" s="15"/>
      <c r="O14" s="5"/>
      <c r="P14" s="49"/>
      <c r="Q14" s="49"/>
      <c r="R14" s="49"/>
      <c r="S14" s="49"/>
      <c r="T14" s="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"/>
      <c r="AM14" s="5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58"/>
      <c r="AZ14" s="58"/>
      <c r="BA14" s="58"/>
      <c r="BB14" s="58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6" t="s">
        <v>52</v>
      </c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5"/>
      <c r="P16" s="49" t="s">
        <v>11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"/>
      <c r="AS16" s="49" t="s">
        <v>12</v>
      </c>
      <c r="AT16" s="49"/>
      <c r="AU16" s="49"/>
      <c r="AV16" s="49"/>
      <c r="AW16" s="49"/>
      <c r="AX16" s="49"/>
      <c r="AY16" s="49"/>
      <c r="AZ16" s="49"/>
      <c r="BA16" s="49"/>
      <c r="BB16" s="49"/>
      <c r="BC16" s="22"/>
    </row>
    <row r="17" spans="1:56" ht="6.95" customHeight="1">
      <c r="A17" s="1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8"/>
      <c r="M17" s="58"/>
      <c r="N17" s="58"/>
      <c r="O17" s="5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"/>
      <c r="AS17" s="49"/>
      <c r="AT17" s="49"/>
      <c r="AU17" s="49"/>
      <c r="AV17" s="49"/>
      <c r="AW17" s="49"/>
      <c r="AX17" s="49"/>
      <c r="AY17" s="58"/>
      <c r="AZ17" s="58"/>
      <c r="BA17" s="58"/>
      <c r="BB17" s="58"/>
      <c r="BC17" s="22"/>
    </row>
    <row r="18" spans="1:56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6" ht="6.95" customHeight="1">
      <c r="A19" s="19"/>
      <c r="B19" s="56" t="s">
        <v>51</v>
      </c>
      <c r="C19" s="56"/>
      <c r="D19" s="56"/>
      <c r="E19" s="56"/>
      <c r="F19" s="56"/>
      <c r="G19" s="56"/>
      <c r="H19" s="56"/>
      <c r="I19" s="56"/>
      <c r="J19" s="56"/>
      <c r="K19" s="56"/>
      <c r="L19" s="3"/>
      <c r="M19" s="86" t="s">
        <v>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22"/>
    </row>
    <row r="20" spans="1:56" ht="6.95" customHeight="1">
      <c r="A20" s="1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30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22"/>
    </row>
    <row r="21" spans="1:56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6" ht="9.75" customHeight="1">
      <c r="A22" s="19"/>
      <c r="B22" s="84" t="s">
        <v>53</v>
      </c>
      <c r="C22" s="62"/>
      <c r="D22" s="62"/>
      <c r="E22" s="62"/>
      <c r="F22" s="84" t="s">
        <v>54</v>
      </c>
      <c r="G22" s="62"/>
      <c r="H22" s="62"/>
      <c r="I22" s="62" t="s">
        <v>55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31"/>
      <c r="AG22" s="76" t="s">
        <v>56</v>
      </c>
      <c r="AH22" s="77"/>
      <c r="AI22" s="77"/>
      <c r="AJ22" s="77"/>
      <c r="AK22" s="77"/>
      <c r="AL22" s="77"/>
      <c r="AM22" s="77"/>
      <c r="AN22" s="77"/>
      <c r="AO22" s="76" t="s">
        <v>57</v>
      </c>
      <c r="AP22" s="77"/>
      <c r="AQ22" s="77"/>
      <c r="AR22" s="77"/>
      <c r="AS22" s="77"/>
      <c r="AT22" s="77"/>
      <c r="AU22" s="77"/>
      <c r="AV22" s="77"/>
      <c r="AW22" s="32"/>
      <c r="AX22" s="76" t="s">
        <v>58</v>
      </c>
      <c r="AY22" s="77"/>
      <c r="AZ22" s="77"/>
      <c r="BA22" s="77"/>
      <c r="BB22" s="77"/>
      <c r="BC22" s="24"/>
      <c r="BD22" s="75" t="s">
        <v>72</v>
      </c>
    </row>
    <row r="23" spans="1:56" ht="9.75" customHeight="1">
      <c r="A23" s="19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11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32"/>
      <c r="AX23" s="77"/>
      <c r="AY23" s="77"/>
      <c r="AZ23" s="77"/>
      <c r="BA23" s="77"/>
      <c r="BB23" s="77"/>
      <c r="BC23" s="22"/>
      <c r="BD23" s="75"/>
    </row>
    <row r="24" spans="1:56" ht="12.75" customHeight="1">
      <c r="A24" s="19"/>
      <c r="B24" s="82">
        <v>1</v>
      </c>
      <c r="C24" s="82"/>
      <c r="D24" s="82"/>
      <c r="E24" s="82"/>
      <c r="F24" s="54">
        <v>0.6</v>
      </c>
      <c r="G24" s="54"/>
      <c r="H24" s="54"/>
      <c r="I24" s="78" t="s">
        <v>119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46"/>
      <c r="AG24" s="78" t="s">
        <v>120</v>
      </c>
      <c r="AH24" s="78"/>
      <c r="AI24" s="78"/>
      <c r="AJ24" s="78"/>
      <c r="AK24" s="78"/>
      <c r="AL24" s="78"/>
      <c r="AM24" s="78"/>
      <c r="AN24" s="78"/>
      <c r="AO24" s="54"/>
      <c r="AP24" s="54"/>
      <c r="AQ24" s="54"/>
      <c r="AR24" s="54"/>
      <c r="AS24" s="54"/>
      <c r="AT24" s="54"/>
      <c r="AU24" s="54"/>
      <c r="AV24" s="54"/>
      <c r="AW24" s="12"/>
      <c r="AX24" s="54"/>
      <c r="AY24" s="54"/>
      <c r="AZ24" s="54"/>
      <c r="BA24" s="54"/>
      <c r="BB24" s="54"/>
      <c r="BC24" s="25"/>
    </row>
    <row r="25" spans="1:56" ht="12.75" customHeight="1">
      <c r="A25" s="19"/>
      <c r="B25" s="82">
        <v>2</v>
      </c>
      <c r="C25" s="82"/>
      <c r="D25" s="82"/>
      <c r="E25" s="82"/>
      <c r="F25" s="54">
        <v>0.6</v>
      </c>
      <c r="G25" s="54"/>
      <c r="H25" s="54"/>
      <c r="I25" s="78" t="s">
        <v>88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46"/>
      <c r="AG25" s="78" t="s">
        <v>121</v>
      </c>
      <c r="AH25" s="78"/>
      <c r="AI25" s="78"/>
      <c r="AJ25" s="78"/>
      <c r="AK25" s="78"/>
      <c r="AL25" s="78"/>
      <c r="AM25" s="78"/>
      <c r="AN25" s="78"/>
      <c r="AO25" s="54"/>
      <c r="AP25" s="54"/>
      <c r="AQ25" s="54"/>
      <c r="AR25" s="54"/>
      <c r="AS25" s="54"/>
      <c r="AT25" s="54"/>
      <c r="AU25" s="54"/>
      <c r="AV25" s="54"/>
      <c r="AW25" s="12"/>
      <c r="AX25" s="54"/>
      <c r="AY25" s="54"/>
      <c r="AZ25" s="54"/>
      <c r="BA25" s="54"/>
      <c r="BB25" s="54"/>
      <c r="BC25" s="25"/>
    </row>
    <row r="26" spans="1:56" ht="12.75" customHeight="1">
      <c r="A26" s="19"/>
      <c r="B26" s="82">
        <v>3</v>
      </c>
      <c r="C26" s="82"/>
      <c r="D26" s="82"/>
      <c r="E26" s="82"/>
      <c r="F26" s="54">
        <v>0.5</v>
      </c>
      <c r="G26" s="54"/>
      <c r="H26" s="54"/>
      <c r="I26" s="78" t="s">
        <v>144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46"/>
      <c r="AG26" s="78" t="s">
        <v>122</v>
      </c>
      <c r="AH26" s="78"/>
      <c r="AI26" s="78"/>
      <c r="AJ26" s="78"/>
      <c r="AK26" s="78"/>
      <c r="AL26" s="78"/>
      <c r="AM26" s="78"/>
      <c r="AN26" s="78"/>
      <c r="AO26" s="54"/>
      <c r="AP26" s="54"/>
      <c r="AQ26" s="54"/>
      <c r="AR26" s="54"/>
      <c r="AS26" s="54"/>
      <c r="AT26" s="54"/>
      <c r="AU26" s="54"/>
      <c r="AV26" s="54"/>
      <c r="AW26" s="12"/>
      <c r="AX26" s="54"/>
      <c r="AY26" s="54"/>
      <c r="AZ26" s="54"/>
      <c r="BA26" s="54"/>
      <c r="BB26" s="54"/>
      <c r="BC26" s="25"/>
    </row>
    <row r="27" spans="1:56" ht="12.75" customHeight="1">
      <c r="A27" s="19"/>
      <c r="B27" s="82">
        <v>4</v>
      </c>
      <c r="C27" s="82"/>
      <c r="D27" s="82"/>
      <c r="E27" s="82"/>
      <c r="F27" s="54">
        <v>0.5</v>
      </c>
      <c r="G27" s="54"/>
      <c r="H27" s="54"/>
      <c r="I27" s="78" t="s">
        <v>145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46"/>
      <c r="AG27" s="78" t="s">
        <v>122</v>
      </c>
      <c r="AH27" s="78"/>
      <c r="AI27" s="78"/>
      <c r="AJ27" s="78"/>
      <c r="AK27" s="78"/>
      <c r="AL27" s="78"/>
      <c r="AM27" s="78"/>
      <c r="AN27" s="78"/>
      <c r="AO27" s="54"/>
      <c r="AP27" s="54"/>
      <c r="AQ27" s="54"/>
      <c r="AR27" s="54"/>
      <c r="AS27" s="54"/>
      <c r="AT27" s="54"/>
      <c r="AU27" s="54"/>
      <c r="AV27" s="54"/>
      <c r="AW27" s="12"/>
      <c r="AX27" s="54"/>
      <c r="AY27" s="54"/>
      <c r="AZ27" s="54"/>
      <c r="BA27" s="54"/>
      <c r="BB27" s="54"/>
      <c r="BC27" s="25"/>
    </row>
    <row r="28" spans="1:56" ht="12.75" customHeight="1">
      <c r="A28" s="19"/>
      <c r="B28" s="82">
        <v>5</v>
      </c>
      <c r="C28" s="82"/>
      <c r="D28" s="82"/>
      <c r="E28" s="82"/>
      <c r="F28" s="54">
        <v>0.6</v>
      </c>
      <c r="G28" s="54"/>
      <c r="H28" s="54"/>
      <c r="I28" s="78" t="s">
        <v>146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46"/>
      <c r="AG28" s="78" t="s">
        <v>90</v>
      </c>
      <c r="AH28" s="78"/>
      <c r="AI28" s="78"/>
      <c r="AJ28" s="78"/>
      <c r="AK28" s="78"/>
      <c r="AL28" s="78"/>
      <c r="AM28" s="78"/>
      <c r="AN28" s="78"/>
      <c r="AO28" s="54"/>
      <c r="AP28" s="54"/>
      <c r="AQ28" s="54"/>
      <c r="AR28" s="54"/>
      <c r="AS28" s="54"/>
      <c r="AT28" s="54"/>
      <c r="AU28" s="54"/>
      <c r="AV28" s="54"/>
      <c r="AW28" s="12"/>
      <c r="AX28" s="54"/>
      <c r="AY28" s="54"/>
      <c r="AZ28" s="54"/>
      <c r="BA28" s="54"/>
      <c r="BB28" s="54"/>
      <c r="BC28" s="25"/>
    </row>
    <row r="29" spans="1:56" ht="12.75" customHeight="1">
      <c r="A29" s="19"/>
      <c r="B29" s="82">
        <v>6</v>
      </c>
      <c r="C29" s="82"/>
      <c r="D29" s="82"/>
      <c r="E29" s="82"/>
      <c r="F29" s="54">
        <v>0.6</v>
      </c>
      <c r="G29" s="54"/>
      <c r="H29" s="54"/>
      <c r="I29" s="78" t="s">
        <v>147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46"/>
      <c r="AG29" s="78" t="s">
        <v>90</v>
      </c>
      <c r="AH29" s="78"/>
      <c r="AI29" s="78"/>
      <c r="AJ29" s="78"/>
      <c r="AK29" s="78"/>
      <c r="AL29" s="78"/>
      <c r="AM29" s="78"/>
      <c r="AN29" s="78"/>
      <c r="AO29" s="54"/>
      <c r="AP29" s="54"/>
      <c r="AQ29" s="54"/>
      <c r="AR29" s="54"/>
      <c r="AS29" s="54"/>
      <c r="AT29" s="54"/>
      <c r="AU29" s="54"/>
      <c r="AV29" s="54"/>
      <c r="AW29" s="12"/>
      <c r="AX29" s="54"/>
      <c r="AY29" s="54"/>
      <c r="AZ29" s="54"/>
      <c r="BA29" s="54"/>
      <c r="BB29" s="54"/>
      <c r="BC29" s="25"/>
    </row>
    <row r="30" spans="1:56" ht="12.75" customHeight="1">
      <c r="A30" s="19"/>
      <c r="B30" s="82">
        <v>7</v>
      </c>
      <c r="C30" s="82"/>
      <c r="D30" s="82"/>
      <c r="E30" s="82"/>
      <c r="F30" s="54">
        <v>0.6</v>
      </c>
      <c r="G30" s="54"/>
      <c r="H30" s="54"/>
      <c r="I30" s="78" t="s">
        <v>144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46"/>
      <c r="AG30" s="78" t="s">
        <v>123</v>
      </c>
      <c r="AH30" s="78"/>
      <c r="AI30" s="78"/>
      <c r="AJ30" s="78"/>
      <c r="AK30" s="78"/>
      <c r="AL30" s="78"/>
      <c r="AM30" s="78"/>
      <c r="AN30" s="78"/>
      <c r="AO30" s="54"/>
      <c r="AP30" s="54"/>
      <c r="AQ30" s="54"/>
      <c r="AR30" s="54"/>
      <c r="AS30" s="54"/>
      <c r="AT30" s="54"/>
      <c r="AU30" s="54"/>
      <c r="AV30" s="54"/>
      <c r="AW30" s="12"/>
      <c r="AX30" s="54"/>
      <c r="AY30" s="54"/>
      <c r="AZ30" s="54"/>
      <c r="BA30" s="54"/>
      <c r="BB30" s="54"/>
      <c r="BC30" s="25"/>
    </row>
    <row r="31" spans="1:56" ht="12.75" customHeight="1">
      <c r="A31" s="19"/>
      <c r="B31" s="82">
        <v>8</v>
      </c>
      <c r="C31" s="82"/>
      <c r="D31" s="82"/>
      <c r="E31" s="82"/>
      <c r="F31" s="54">
        <v>0.7</v>
      </c>
      <c r="G31" s="54"/>
      <c r="H31" s="54"/>
      <c r="I31" s="78" t="s">
        <v>140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46"/>
      <c r="AG31" s="78" t="s">
        <v>124</v>
      </c>
      <c r="AH31" s="78"/>
      <c r="AI31" s="78"/>
      <c r="AJ31" s="78"/>
      <c r="AK31" s="78"/>
      <c r="AL31" s="78"/>
      <c r="AM31" s="78"/>
      <c r="AN31" s="78"/>
      <c r="AO31" s="54"/>
      <c r="AP31" s="54"/>
      <c r="AQ31" s="54"/>
      <c r="AR31" s="54"/>
      <c r="AS31" s="54"/>
      <c r="AT31" s="54"/>
      <c r="AU31" s="54"/>
      <c r="AV31" s="54"/>
      <c r="AW31" s="12"/>
      <c r="AX31" s="54"/>
      <c r="AY31" s="54"/>
      <c r="AZ31" s="54"/>
      <c r="BA31" s="54"/>
      <c r="BB31" s="54"/>
      <c r="BC31" s="25"/>
    </row>
    <row r="32" spans="1:56" ht="12.75" customHeight="1">
      <c r="A32" s="19"/>
      <c r="B32" s="82">
        <v>9</v>
      </c>
      <c r="C32" s="82"/>
      <c r="D32" s="82"/>
      <c r="E32" s="82"/>
      <c r="F32" s="54">
        <v>0.7</v>
      </c>
      <c r="G32" s="54"/>
      <c r="H32" s="54"/>
      <c r="I32" s="78" t="s">
        <v>140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46"/>
      <c r="AG32" s="78" t="s">
        <v>125</v>
      </c>
      <c r="AH32" s="78"/>
      <c r="AI32" s="78"/>
      <c r="AJ32" s="78"/>
      <c r="AK32" s="78"/>
      <c r="AL32" s="78"/>
      <c r="AM32" s="78"/>
      <c r="AN32" s="78"/>
      <c r="AO32" s="54"/>
      <c r="AP32" s="54"/>
      <c r="AQ32" s="54"/>
      <c r="AR32" s="54"/>
      <c r="AS32" s="54"/>
      <c r="AT32" s="54"/>
      <c r="AU32" s="54"/>
      <c r="AV32" s="54"/>
      <c r="AW32" s="12"/>
      <c r="AX32" s="54"/>
      <c r="AY32" s="54"/>
      <c r="AZ32" s="54"/>
      <c r="BA32" s="54"/>
      <c r="BB32" s="54"/>
      <c r="BC32" s="25"/>
    </row>
    <row r="33" spans="1:55" ht="12.75" customHeight="1">
      <c r="A33" s="19"/>
      <c r="B33" s="82">
        <v>10</v>
      </c>
      <c r="C33" s="82"/>
      <c r="D33" s="82"/>
      <c r="E33" s="82"/>
      <c r="F33" s="54">
        <v>0.5</v>
      </c>
      <c r="G33" s="54"/>
      <c r="H33" s="54"/>
      <c r="I33" s="78" t="s">
        <v>99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46"/>
      <c r="AG33" s="79" t="s">
        <v>93</v>
      </c>
      <c r="AH33" s="80"/>
      <c r="AI33" s="80"/>
      <c r="AJ33" s="80"/>
      <c r="AK33" s="80"/>
      <c r="AL33" s="80"/>
      <c r="AM33" s="80"/>
      <c r="AN33" s="81"/>
      <c r="AO33" s="54"/>
      <c r="AP33" s="54"/>
      <c r="AQ33" s="54"/>
      <c r="AR33" s="54"/>
      <c r="AS33" s="54"/>
      <c r="AT33" s="54"/>
      <c r="AU33" s="54"/>
      <c r="AV33" s="54"/>
      <c r="AW33" s="12"/>
      <c r="AX33" s="54"/>
      <c r="AY33" s="54"/>
      <c r="AZ33" s="54"/>
      <c r="BA33" s="54"/>
      <c r="BB33" s="54"/>
      <c r="BC33" s="25"/>
    </row>
    <row r="34" spans="1:55" ht="12.75" customHeight="1">
      <c r="A34" s="19"/>
      <c r="B34" s="82">
        <v>11</v>
      </c>
      <c r="C34" s="82"/>
      <c r="D34" s="82"/>
      <c r="E34" s="82"/>
      <c r="F34" s="54">
        <v>0.5</v>
      </c>
      <c r="G34" s="54"/>
      <c r="H34" s="54"/>
      <c r="I34" s="79" t="s">
        <v>147</v>
      </c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1"/>
      <c r="AF34" s="46"/>
      <c r="AG34" s="79" t="s">
        <v>126</v>
      </c>
      <c r="AH34" s="80"/>
      <c r="AI34" s="80"/>
      <c r="AJ34" s="80"/>
      <c r="AK34" s="80"/>
      <c r="AL34" s="80"/>
      <c r="AM34" s="80"/>
      <c r="AN34" s="81"/>
      <c r="AO34" s="54"/>
      <c r="AP34" s="54"/>
      <c r="AQ34" s="54"/>
      <c r="AR34" s="54"/>
      <c r="AS34" s="54"/>
      <c r="AT34" s="54"/>
      <c r="AU34" s="54"/>
      <c r="AV34" s="54"/>
      <c r="AW34" s="12"/>
      <c r="AX34" s="54"/>
      <c r="AY34" s="54"/>
      <c r="AZ34" s="54"/>
      <c r="BA34" s="54"/>
      <c r="BB34" s="54"/>
      <c r="BC34" s="25"/>
    </row>
    <row r="35" spans="1:55" ht="12.75" customHeight="1">
      <c r="A35" s="19"/>
      <c r="B35" s="82">
        <v>12</v>
      </c>
      <c r="C35" s="82"/>
      <c r="D35" s="82"/>
      <c r="E35" s="82"/>
      <c r="F35" s="54">
        <v>0.5</v>
      </c>
      <c r="G35" s="54"/>
      <c r="H35" s="54"/>
      <c r="I35" s="79" t="s">
        <v>148</v>
      </c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1"/>
      <c r="AF35" s="46"/>
      <c r="AG35" s="79" t="s">
        <v>126</v>
      </c>
      <c r="AH35" s="80"/>
      <c r="AI35" s="80"/>
      <c r="AJ35" s="80"/>
      <c r="AK35" s="80"/>
      <c r="AL35" s="80"/>
      <c r="AM35" s="80"/>
      <c r="AN35" s="81"/>
      <c r="AO35" s="54"/>
      <c r="AP35" s="54"/>
      <c r="AQ35" s="54"/>
      <c r="AR35" s="54"/>
      <c r="AS35" s="54"/>
      <c r="AT35" s="54"/>
      <c r="AU35" s="54"/>
      <c r="AV35" s="54"/>
      <c r="AW35" s="12"/>
      <c r="AX35" s="54"/>
      <c r="AY35" s="54"/>
      <c r="AZ35" s="54"/>
      <c r="BA35" s="54"/>
      <c r="BB35" s="54"/>
      <c r="BC35" s="25"/>
    </row>
    <row r="36" spans="1:55" ht="12.75" customHeight="1">
      <c r="A36" s="19"/>
      <c r="B36" s="82">
        <v>13</v>
      </c>
      <c r="C36" s="82"/>
      <c r="D36" s="82"/>
      <c r="E36" s="82"/>
      <c r="F36" s="54">
        <v>0.7</v>
      </c>
      <c r="G36" s="54"/>
      <c r="H36" s="54"/>
      <c r="I36" s="78" t="s">
        <v>99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46"/>
      <c r="AG36" s="79" t="s">
        <v>95</v>
      </c>
      <c r="AH36" s="80"/>
      <c r="AI36" s="80"/>
      <c r="AJ36" s="80"/>
      <c r="AK36" s="80"/>
      <c r="AL36" s="80"/>
      <c r="AM36" s="80"/>
      <c r="AN36" s="81"/>
      <c r="AO36" s="54"/>
      <c r="AP36" s="54"/>
      <c r="AQ36" s="54"/>
      <c r="AR36" s="54"/>
      <c r="AS36" s="54"/>
      <c r="AT36" s="54"/>
      <c r="AU36" s="54"/>
      <c r="AV36" s="54"/>
      <c r="AW36" s="12"/>
      <c r="AX36" s="54"/>
      <c r="AY36" s="54"/>
      <c r="AZ36" s="54"/>
      <c r="BA36" s="54"/>
      <c r="BB36" s="54"/>
      <c r="BC36" s="25"/>
    </row>
    <row r="37" spans="1:55" ht="12.75" customHeight="1">
      <c r="A37" s="19"/>
      <c r="B37" s="82">
        <v>14</v>
      </c>
      <c r="C37" s="82"/>
      <c r="D37" s="82"/>
      <c r="E37" s="82"/>
      <c r="F37" s="54">
        <v>0.7</v>
      </c>
      <c r="G37" s="54"/>
      <c r="H37" s="54"/>
      <c r="I37" s="78" t="s">
        <v>149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46"/>
      <c r="AG37" s="79" t="s">
        <v>127</v>
      </c>
      <c r="AH37" s="80"/>
      <c r="AI37" s="80"/>
      <c r="AJ37" s="80"/>
      <c r="AK37" s="80"/>
      <c r="AL37" s="80"/>
      <c r="AM37" s="80"/>
      <c r="AN37" s="81"/>
      <c r="AO37" s="54"/>
      <c r="AP37" s="54"/>
      <c r="AQ37" s="54"/>
      <c r="AR37" s="54"/>
      <c r="AS37" s="54"/>
      <c r="AT37" s="54"/>
      <c r="AU37" s="54"/>
      <c r="AV37" s="54"/>
      <c r="AW37" s="12"/>
      <c r="AX37" s="54"/>
      <c r="AY37" s="54"/>
      <c r="AZ37" s="54"/>
      <c r="BA37" s="54"/>
      <c r="BB37" s="54"/>
      <c r="BC37" s="25"/>
    </row>
    <row r="38" spans="1:55" ht="12.75" customHeight="1">
      <c r="A38" s="19"/>
      <c r="B38" s="82">
        <v>15</v>
      </c>
      <c r="C38" s="82"/>
      <c r="D38" s="82"/>
      <c r="E38" s="82"/>
      <c r="F38" s="54">
        <v>0.8</v>
      </c>
      <c r="G38" s="54"/>
      <c r="H38" s="54"/>
      <c r="I38" s="78" t="s">
        <v>145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46"/>
      <c r="AG38" s="79" t="s">
        <v>128</v>
      </c>
      <c r="AH38" s="80"/>
      <c r="AI38" s="80"/>
      <c r="AJ38" s="80"/>
      <c r="AK38" s="80"/>
      <c r="AL38" s="80"/>
      <c r="AM38" s="80"/>
      <c r="AN38" s="81"/>
      <c r="AO38" s="54"/>
      <c r="AP38" s="54"/>
      <c r="AQ38" s="54"/>
      <c r="AR38" s="54"/>
      <c r="AS38" s="54"/>
      <c r="AT38" s="54"/>
      <c r="AU38" s="54"/>
      <c r="AV38" s="54"/>
      <c r="AW38" s="12"/>
      <c r="AX38" s="54"/>
      <c r="AY38" s="54"/>
      <c r="AZ38" s="54"/>
      <c r="BA38" s="54"/>
      <c r="BB38" s="54"/>
      <c r="BC38" s="25"/>
    </row>
    <row r="39" spans="1:55" ht="12.75" customHeight="1">
      <c r="A39" s="19"/>
      <c r="B39" s="82">
        <v>16</v>
      </c>
      <c r="C39" s="82"/>
      <c r="D39" s="82"/>
      <c r="E39" s="82"/>
      <c r="F39" s="54">
        <v>0.7</v>
      </c>
      <c r="G39" s="54"/>
      <c r="H39" s="54"/>
      <c r="I39" s="78" t="s">
        <v>150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46"/>
      <c r="AG39" s="78" t="s">
        <v>96</v>
      </c>
      <c r="AH39" s="78"/>
      <c r="AI39" s="78"/>
      <c r="AJ39" s="78"/>
      <c r="AK39" s="78"/>
      <c r="AL39" s="78"/>
      <c r="AM39" s="78"/>
      <c r="AN39" s="78"/>
      <c r="AO39" s="54"/>
      <c r="AP39" s="54"/>
      <c r="AQ39" s="54"/>
      <c r="AR39" s="54"/>
      <c r="AS39" s="54"/>
      <c r="AT39" s="54"/>
      <c r="AU39" s="54"/>
      <c r="AV39" s="54"/>
      <c r="AW39" s="12"/>
      <c r="AX39" s="54"/>
      <c r="AY39" s="54"/>
      <c r="AZ39" s="54"/>
      <c r="BA39" s="54"/>
      <c r="BB39" s="54"/>
      <c r="BC39" s="25"/>
    </row>
    <row r="40" spans="1:55" ht="12.75" customHeight="1">
      <c r="A40" s="19"/>
      <c r="B40" s="82">
        <v>17</v>
      </c>
      <c r="C40" s="82"/>
      <c r="D40" s="82"/>
      <c r="E40" s="82"/>
      <c r="F40" s="54">
        <v>0.6</v>
      </c>
      <c r="G40" s="54"/>
      <c r="H40" s="54"/>
      <c r="I40" s="78" t="s">
        <v>149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46"/>
      <c r="AG40" s="78" t="s">
        <v>98</v>
      </c>
      <c r="AH40" s="78"/>
      <c r="AI40" s="78"/>
      <c r="AJ40" s="78"/>
      <c r="AK40" s="78"/>
      <c r="AL40" s="78"/>
      <c r="AM40" s="78"/>
      <c r="AN40" s="78"/>
      <c r="AO40" s="54"/>
      <c r="AP40" s="54"/>
      <c r="AQ40" s="54"/>
      <c r="AR40" s="54"/>
      <c r="AS40" s="54"/>
      <c r="AT40" s="54"/>
      <c r="AU40" s="54"/>
      <c r="AV40" s="54"/>
      <c r="AW40" s="12"/>
      <c r="AX40" s="54"/>
      <c r="AY40" s="54"/>
      <c r="AZ40" s="54"/>
      <c r="BA40" s="54"/>
      <c r="BB40" s="54"/>
      <c r="BC40" s="25"/>
    </row>
    <row r="41" spans="1:55" ht="12.75" customHeight="1">
      <c r="A41" s="19"/>
      <c r="B41" s="82">
        <v>18</v>
      </c>
      <c r="C41" s="82"/>
      <c r="D41" s="82"/>
      <c r="E41" s="82"/>
      <c r="F41" s="54">
        <v>0.7</v>
      </c>
      <c r="G41" s="54"/>
      <c r="H41" s="54"/>
      <c r="I41" s="78" t="s">
        <v>101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46"/>
      <c r="AG41" s="78" t="s">
        <v>97</v>
      </c>
      <c r="AH41" s="78"/>
      <c r="AI41" s="78"/>
      <c r="AJ41" s="78"/>
      <c r="AK41" s="78"/>
      <c r="AL41" s="78"/>
      <c r="AM41" s="78"/>
      <c r="AN41" s="78"/>
      <c r="AO41" s="54"/>
      <c r="AP41" s="54"/>
      <c r="AQ41" s="54"/>
      <c r="AR41" s="54"/>
      <c r="AS41" s="54"/>
      <c r="AT41" s="54"/>
      <c r="AU41" s="54"/>
      <c r="AV41" s="54"/>
      <c r="AW41" s="12"/>
      <c r="AX41" s="54"/>
      <c r="AY41" s="54"/>
      <c r="AZ41" s="54"/>
      <c r="BA41" s="54"/>
      <c r="BB41" s="54"/>
      <c r="BC41" s="25"/>
    </row>
    <row r="42" spans="1:55" ht="12.75" customHeight="1">
      <c r="A42" s="19"/>
      <c r="B42" s="82">
        <v>19</v>
      </c>
      <c r="C42" s="82"/>
      <c r="D42" s="82"/>
      <c r="E42" s="82"/>
      <c r="F42" s="54">
        <v>0.7</v>
      </c>
      <c r="G42" s="54"/>
      <c r="H42" s="54"/>
      <c r="I42" s="78" t="s">
        <v>151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46"/>
      <c r="AG42" s="78" t="s">
        <v>100</v>
      </c>
      <c r="AH42" s="78"/>
      <c r="AI42" s="78"/>
      <c r="AJ42" s="78"/>
      <c r="AK42" s="78"/>
      <c r="AL42" s="78"/>
      <c r="AM42" s="78"/>
      <c r="AN42" s="78"/>
      <c r="AO42" s="54"/>
      <c r="AP42" s="54"/>
      <c r="AQ42" s="54"/>
      <c r="AR42" s="54"/>
      <c r="AS42" s="54"/>
      <c r="AT42" s="54"/>
      <c r="AU42" s="54"/>
      <c r="AV42" s="54"/>
      <c r="AW42" s="12"/>
      <c r="AX42" s="54"/>
      <c r="AY42" s="54"/>
      <c r="AZ42" s="54"/>
      <c r="BA42" s="54"/>
      <c r="BB42" s="54"/>
      <c r="BC42" s="25"/>
    </row>
    <row r="43" spans="1:55" ht="12.75" customHeight="1">
      <c r="A43" s="19"/>
      <c r="B43" s="82">
        <v>20</v>
      </c>
      <c r="C43" s="82"/>
      <c r="D43" s="82"/>
      <c r="E43" s="82"/>
      <c r="F43" s="54">
        <v>0.6</v>
      </c>
      <c r="G43" s="54"/>
      <c r="H43" s="54"/>
      <c r="I43" s="79" t="s">
        <v>152</v>
      </c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1"/>
      <c r="AF43" s="46"/>
      <c r="AG43" s="79" t="s">
        <v>129</v>
      </c>
      <c r="AH43" s="80"/>
      <c r="AI43" s="80"/>
      <c r="AJ43" s="80"/>
      <c r="AK43" s="80"/>
      <c r="AL43" s="80"/>
      <c r="AM43" s="80"/>
      <c r="AN43" s="81"/>
      <c r="AO43" s="54"/>
      <c r="AP43" s="54"/>
      <c r="AQ43" s="54"/>
      <c r="AR43" s="54"/>
      <c r="AS43" s="54"/>
      <c r="AT43" s="54"/>
      <c r="AU43" s="54"/>
      <c r="AV43" s="54"/>
      <c r="AW43" s="12"/>
      <c r="AX43" s="54"/>
      <c r="AY43" s="54"/>
      <c r="AZ43" s="54"/>
      <c r="BA43" s="54"/>
      <c r="BB43" s="54"/>
      <c r="BC43" s="25"/>
    </row>
    <row r="44" spans="1:55" ht="12.75" customHeight="1">
      <c r="A44" s="19"/>
      <c r="B44" s="82">
        <v>21</v>
      </c>
      <c r="C44" s="82"/>
      <c r="D44" s="82"/>
      <c r="E44" s="82"/>
      <c r="F44" s="54">
        <v>0.7</v>
      </c>
      <c r="G44" s="54"/>
      <c r="H44" s="54"/>
      <c r="I44" s="79" t="s">
        <v>103</v>
      </c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1"/>
      <c r="AF44" s="46"/>
      <c r="AG44" s="79" t="s">
        <v>106</v>
      </c>
      <c r="AH44" s="80"/>
      <c r="AI44" s="80"/>
      <c r="AJ44" s="80"/>
      <c r="AK44" s="80"/>
      <c r="AL44" s="80"/>
      <c r="AM44" s="80"/>
      <c r="AN44" s="81"/>
      <c r="AO44" s="54"/>
      <c r="AP44" s="54"/>
      <c r="AQ44" s="54"/>
      <c r="AR44" s="54"/>
      <c r="AS44" s="54"/>
      <c r="AT44" s="54"/>
      <c r="AU44" s="54"/>
      <c r="AV44" s="54"/>
      <c r="AW44" s="12"/>
      <c r="AX44" s="54"/>
      <c r="AY44" s="54"/>
      <c r="AZ44" s="54"/>
      <c r="BA44" s="54"/>
      <c r="BB44" s="54"/>
      <c r="BC44" s="25"/>
    </row>
    <row r="45" spans="1:55" ht="12.75" customHeight="1">
      <c r="A45" s="19"/>
      <c r="B45" s="82">
        <v>22</v>
      </c>
      <c r="C45" s="82"/>
      <c r="D45" s="82"/>
      <c r="E45" s="82"/>
      <c r="F45" s="54">
        <v>0.7</v>
      </c>
      <c r="G45" s="54"/>
      <c r="H45" s="54"/>
      <c r="I45" s="79" t="s">
        <v>153</v>
      </c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1"/>
      <c r="AF45" s="46"/>
      <c r="AG45" s="79" t="s">
        <v>130</v>
      </c>
      <c r="AH45" s="80"/>
      <c r="AI45" s="80"/>
      <c r="AJ45" s="80"/>
      <c r="AK45" s="80"/>
      <c r="AL45" s="80"/>
      <c r="AM45" s="80"/>
      <c r="AN45" s="81"/>
      <c r="AO45" s="54"/>
      <c r="AP45" s="54"/>
      <c r="AQ45" s="54"/>
      <c r="AR45" s="54"/>
      <c r="AS45" s="54"/>
      <c r="AT45" s="54"/>
      <c r="AU45" s="54"/>
      <c r="AV45" s="54"/>
      <c r="AW45" s="12"/>
      <c r="AX45" s="54"/>
      <c r="AY45" s="54"/>
      <c r="AZ45" s="54"/>
      <c r="BA45" s="54"/>
      <c r="BB45" s="54"/>
      <c r="BC45" s="25"/>
    </row>
    <row r="46" spans="1:55" ht="12.75" customHeight="1">
      <c r="A46" s="19"/>
      <c r="B46" s="82">
        <v>23</v>
      </c>
      <c r="C46" s="82"/>
      <c r="D46" s="82"/>
      <c r="E46" s="82"/>
      <c r="F46" s="54">
        <v>0.7</v>
      </c>
      <c r="G46" s="54"/>
      <c r="H46" s="54"/>
      <c r="I46" s="88" t="s">
        <v>119</v>
      </c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1"/>
      <c r="AF46" s="46"/>
      <c r="AG46" s="78" t="s">
        <v>104</v>
      </c>
      <c r="AH46" s="78"/>
      <c r="AI46" s="78"/>
      <c r="AJ46" s="78"/>
      <c r="AK46" s="78"/>
      <c r="AL46" s="78"/>
      <c r="AM46" s="78"/>
      <c r="AN46" s="78"/>
      <c r="AO46" s="54"/>
      <c r="AP46" s="54"/>
      <c r="AQ46" s="54"/>
      <c r="AR46" s="54"/>
      <c r="AS46" s="54"/>
      <c r="AT46" s="54"/>
      <c r="AU46" s="54"/>
      <c r="AV46" s="54"/>
      <c r="AW46" s="12"/>
      <c r="AX46" s="54"/>
      <c r="AY46" s="54"/>
      <c r="AZ46" s="54"/>
      <c r="BA46" s="54"/>
      <c r="BB46" s="54"/>
      <c r="BC46" s="25"/>
    </row>
    <row r="47" spans="1:55" ht="12.75" customHeight="1">
      <c r="A47" s="19"/>
      <c r="B47" s="82">
        <v>24</v>
      </c>
      <c r="C47" s="82"/>
      <c r="D47" s="82"/>
      <c r="E47" s="82"/>
      <c r="F47" s="54">
        <v>0.7</v>
      </c>
      <c r="G47" s="54"/>
      <c r="H47" s="54"/>
      <c r="I47" s="88" t="s">
        <v>102</v>
      </c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1"/>
      <c r="AF47" s="46"/>
      <c r="AG47" s="78" t="s">
        <v>104</v>
      </c>
      <c r="AH47" s="78"/>
      <c r="AI47" s="78"/>
      <c r="AJ47" s="78"/>
      <c r="AK47" s="78"/>
      <c r="AL47" s="78"/>
      <c r="AM47" s="78"/>
      <c r="AN47" s="78"/>
      <c r="AO47" s="54"/>
      <c r="AP47" s="54"/>
      <c r="AQ47" s="54"/>
      <c r="AR47" s="54"/>
      <c r="AS47" s="54"/>
      <c r="AT47" s="54"/>
      <c r="AU47" s="54"/>
      <c r="AV47" s="54"/>
      <c r="AW47" s="12"/>
      <c r="AX47" s="54"/>
      <c r="AY47" s="54"/>
      <c r="AZ47" s="54"/>
      <c r="BA47" s="54"/>
      <c r="BB47" s="54"/>
      <c r="BC47" s="25"/>
    </row>
    <row r="48" spans="1:55" ht="12.75" customHeight="1">
      <c r="A48" s="19"/>
      <c r="B48" s="82">
        <v>25</v>
      </c>
      <c r="C48" s="82"/>
      <c r="D48" s="82"/>
      <c r="E48" s="82"/>
      <c r="F48" s="54">
        <v>0.7</v>
      </c>
      <c r="G48" s="54"/>
      <c r="H48" s="54"/>
      <c r="I48" s="79" t="s">
        <v>139</v>
      </c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1"/>
      <c r="AF48" s="46"/>
      <c r="AG48" s="79" t="s">
        <v>131</v>
      </c>
      <c r="AH48" s="80"/>
      <c r="AI48" s="80"/>
      <c r="AJ48" s="80"/>
      <c r="AK48" s="80"/>
      <c r="AL48" s="80"/>
      <c r="AM48" s="80"/>
      <c r="AN48" s="81"/>
      <c r="AO48" s="54"/>
      <c r="AP48" s="54"/>
      <c r="AQ48" s="54"/>
      <c r="AR48" s="54"/>
      <c r="AS48" s="54"/>
      <c r="AT48" s="54"/>
      <c r="AU48" s="54"/>
      <c r="AV48" s="54"/>
      <c r="AW48" s="12"/>
      <c r="AX48" s="54"/>
      <c r="AY48" s="54"/>
      <c r="AZ48" s="54"/>
      <c r="BA48" s="54"/>
      <c r="BB48" s="54"/>
      <c r="BC48" s="25"/>
    </row>
    <row r="49" spans="1:56" ht="12.75" customHeight="1">
      <c r="A49" s="19"/>
      <c r="B49" s="82">
        <v>26</v>
      </c>
      <c r="C49" s="82"/>
      <c r="D49" s="82"/>
      <c r="E49" s="82"/>
      <c r="F49" s="54">
        <v>0.6</v>
      </c>
      <c r="G49" s="54"/>
      <c r="H49" s="54"/>
      <c r="I49" s="79" t="s">
        <v>154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1"/>
      <c r="AF49" s="46"/>
      <c r="AG49" s="79" t="s">
        <v>122</v>
      </c>
      <c r="AH49" s="80"/>
      <c r="AI49" s="80"/>
      <c r="AJ49" s="80"/>
      <c r="AK49" s="80"/>
      <c r="AL49" s="80"/>
      <c r="AM49" s="80"/>
      <c r="AN49" s="81"/>
      <c r="AO49" s="54"/>
      <c r="AP49" s="54"/>
      <c r="AQ49" s="54"/>
      <c r="AR49" s="54"/>
      <c r="AS49" s="54"/>
      <c r="AT49" s="54"/>
      <c r="AU49" s="54"/>
      <c r="AV49" s="54"/>
      <c r="AW49" s="12"/>
      <c r="AX49" s="54"/>
      <c r="AY49" s="54"/>
      <c r="AZ49" s="54"/>
      <c r="BA49" s="54"/>
      <c r="BB49" s="54"/>
      <c r="BC49" s="25"/>
    </row>
    <row r="50" spans="1:56" ht="12.75" customHeight="1">
      <c r="A50" s="19"/>
      <c r="B50" s="82">
        <v>27</v>
      </c>
      <c r="C50" s="82"/>
      <c r="D50" s="82"/>
      <c r="E50" s="82"/>
      <c r="F50" s="54">
        <v>0.7</v>
      </c>
      <c r="G50" s="54"/>
      <c r="H50" s="54"/>
      <c r="I50" s="79" t="s">
        <v>161</v>
      </c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1"/>
      <c r="AF50" s="46"/>
      <c r="AG50" s="79" t="s">
        <v>162</v>
      </c>
      <c r="AH50" s="80"/>
      <c r="AI50" s="80"/>
      <c r="AJ50" s="80"/>
      <c r="AK50" s="80"/>
      <c r="AL50" s="80"/>
      <c r="AM50" s="80"/>
      <c r="AN50" s="81"/>
      <c r="AO50" s="54"/>
      <c r="AP50" s="54"/>
      <c r="AQ50" s="54"/>
      <c r="AR50" s="54"/>
      <c r="AS50" s="54"/>
      <c r="AT50" s="54"/>
      <c r="AU50" s="54"/>
      <c r="AV50" s="54"/>
      <c r="AW50" s="12"/>
      <c r="AX50" s="54"/>
      <c r="AY50" s="54"/>
      <c r="AZ50" s="54"/>
      <c r="BA50" s="54"/>
      <c r="BB50" s="54"/>
      <c r="BC50" s="25"/>
    </row>
    <row r="51" spans="1:56" ht="12.75" customHeight="1">
      <c r="A51" s="19"/>
      <c r="B51" s="82">
        <v>28</v>
      </c>
      <c r="C51" s="82"/>
      <c r="D51" s="82"/>
      <c r="E51" s="82"/>
      <c r="F51" s="54">
        <v>0.8</v>
      </c>
      <c r="G51" s="54"/>
      <c r="H51" s="54"/>
      <c r="I51" s="79" t="s">
        <v>110</v>
      </c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1"/>
      <c r="AF51" s="46"/>
      <c r="AG51" s="78" t="s">
        <v>105</v>
      </c>
      <c r="AH51" s="78"/>
      <c r="AI51" s="78"/>
      <c r="AJ51" s="78"/>
      <c r="AK51" s="78"/>
      <c r="AL51" s="78"/>
      <c r="AM51" s="78"/>
      <c r="AN51" s="78"/>
      <c r="AO51" s="54"/>
      <c r="AP51" s="54"/>
      <c r="AQ51" s="54"/>
      <c r="AR51" s="54"/>
      <c r="AS51" s="54"/>
      <c r="AT51" s="54"/>
      <c r="AU51" s="54"/>
      <c r="AV51" s="54"/>
      <c r="AW51" s="12"/>
      <c r="AX51" s="54"/>
      <c r="AY51" s="54"/>
      <c r="AZ51" s="54"/>
      <c r="BA51" s="54"/>
      <c r="BB51" s="54"/>
      <c r="BC51" s="25"/>
    </row>
    <row r="52" spans="1:56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6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6" s="35" customFormat="1" ht="8.1" customHeight="1">
      <c r="A54" s="34"/>
      <c r="B54" s="10"/>
      <c r="C54" s="10"/>
      <c r="D54" s="10"/>
      <c r="E54" s="10"/>
      <c r="F54" s="92">
        <f>SUM(F24:H51)</f>
        <v>17.999999999999996</v>
      </c>
      <c r="G54" s="92"/>
      <c r="H54" s="92"/>
      <c r="I54" s="91" t="s">
        <v>66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10"/>
      <c r="AG54" s="10"/>
      <c r="AH54" s="10"/>
      <c r="AI54" s="10"/>
      <c r="AJ54" s="10"/>
      <c r="AK54" s="10"/>
      <c r="AL54" s="10"/>
      <c r="AM54" s="10"/>
      <c r="AN54" s="50" t="s">
        <v>59</v>
      </c>
      <c r="AO54" s="50"/>
      <c r="AP54" s="50"/>
      <c r="AQ54" s="50"/>
      <c r="AR54" s="50"/>
      <c r="AS54" s="50"/>
      <c r="AT54" s="50"/>
      <c r="AU54" s="50"/>
      <c r="AV54" s="50"/>
      <c r="AW54" s="10"/>
      <c r="AX54" s="92">
        <f>SUM(AX24:BB51)</f>
        <v>0</v>
      </c>
      <c r="AY54" s="92"/>
      <c r="AZ54" s="92"/>
      <c r="BA54" s="92"/>
      <c r="BB54" s="92"/>
      <c r="BC54" s="36"/>
      <c r="BD54" s="47"/>
    </row>
    <row r="55" spans="1:56" s="35" customFormat="1" ht="8.1" customHeight="1">
      <c r="A55" s="34"/>
      <c r="B55" s="10"/>
      <c r="C55" s="10"/>
      <c r="D55" s="10"/>
      <c r="E55" s="10"/>
      <c r="F55" s="93"/>
      <c r="G55" s="93"/>
      <c r="H55" s="93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10"/>
      <c r="AG55" s="10"/>
      <c r="AH55" s="10"/>
      <c r="AI55" s="10"/>
      <c r="AJ55" s="10"/>
      <c r="AK55" s="10"/>
      <c r="AL55" s="10"/>
      <c r="AM55" s="10"/>
      <c r="AN55" s="50"/>
      <c r="AO55" s="50"/>
      <c r="AP55" s="50"/>
      <c r="AQ55" s="50"/>
      <c r="AR55" s="50"/>
      <c r="AS55" s="50"/>
      <c r="AT55" s="50"/>
      <c r="AU55" s="50"/>
      <c r="AV55" s="50"/>
      <c r="AW55" s="10"/>
      <c r="AX55" s="93"/>
      <c r="AY55" s="93"/>
      <c r="AZ55" s="93"/>
      <c r="BA55" s="93"/>
      <c r="BB55" s="93"/>
      <c r="BC55" s="38"/>
      <c r="BD55" s="47"/>
    </row>
    <row r="56" spans="1:56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47"/>
    </row>
    <row r="57" spans="1:56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47"/>
    </row>
    <row r="58" spans="1:56" s="35" customFormat="1" ht="8.1" customHeight="1">
      <c r="A58" s="34"/>
      <c r="B58" s="91" t="s">
        <v>60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47"/>
    </row>
    <row r="59" spans="1:56" s="35" customFormat="1" ht="8.1" customHeight="1">
      <c r="A59" s="3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47"/>
    </row>
    <row r="60" spans="1:56" s="35" customFormat="1" ht="11.25" customHeight="1">
      <c r="A60" s="34"/>
      <c r="B60" s="62" t="s">
        <v>61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11"/>
      <c r="S60" s="62" t="s">
        <v>24</v>
      </c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47"/>
    </row>
    <row r="61" spans="1:56" s="35" customFormat="1" ht="8.1" customHeight="1">
      <c r="A61" s="3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11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"/>
      <c r="AK61" s="65" t="s">
        <v>63</v>
      </c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41"/>
      <c r="BD61" s="47"/>
    </row>
    <row r="62" spans="1:56" s="35" customFormat="1" ht="8.1" customHeight="1">
      <c r="A62" s="3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1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11"/>
      <c r="AK62" s="65" t="s">
        <v>64</v>
      </c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40"/>
      <c r="BD62" s="47"/>
    </row>
    <row r="63" spans="1:56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65" t="s">
        <v>65</v>
      </c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41"/>
      <c r="BD63" s="47"/>
    </row>
    <row r="64" spans="1:56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2" t="s">
        <v>62</v>
      </c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89" t="s">
        <v>68</v>
      </c>
      <c r="C67" s="89"/>
      <c r="D67" s="89"/>
      <c r="E67" s="89"/>
      <c r="F67" s="89"/>
      <c r="G67" s="8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0">
        <v>41113</v>
      </c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1">
    <mergeCell ref="B67:G67"/>
    <mergeCell ref="AP67:BB67"/>
    <mergeCell ref="B58:AE59"/>
    <mergeCell ref="B60:Q60"/>
    <mergeCell ref="S60:AI60"/>
    <mergeCell ref="B61:Q62"/>
    <mergeCell ref="S61:AI62"/>
    <mergeCell ref="S64:AA65"/>
    <mergeCell ref="AO34:AV34"/>
    <mergeCell ref="AX34:BB34"/>
    <mergeCell ref="B34:E34"/>
    <mergeCell ref="F34:H34"/>
    <mergeCell ref="I34:AE34"/>
    <mergeCell ref="AG34:AN34"/>
    <mergeCell ref="I54:AE55"/>
    <mergeCell ref="F54:H55"/>
    <mergeCell ref="AN54:AV55"/>
    <mergeCell ref="AX54:BB55"/>
    <mergeCell ref="AG51:AN51"/>
    <mergeCell ref="AO51:AV51"/>
    <mergeCell ref="AX51:BB51"/>
    <mergeCell ref="AK62:BB62"/>
    <mergeCell ref="AK63:BB63"/>
    <mergeCell ref="B51:E51"/>
    <mergeCell ref="F51:H51"/>
    <mergeCell ref="I51:AE51"/>
    <mergeCell ref="AO48:AV48"/>
    <mergeCell ref="AX48:BB48"/>
    <mergeCell ref="AO49:AV49"/>
    <mergeCell ref="AX49:BB49"/>
    <mergeCell ref="B49:E49"/>
    <mergeCell ref="F49:H49"/>
    <mergeCell ref="I49:AE49"/>
    <mergeCell ref="AG49:AN49"/>
    <mergeCell ref="F48:H48"/>
    <mergeCell ref="AG48:AN48"/>
    <mergeCell ref="B47:E47"/>
    <mergeCell ref="F47:H47"/>
    <mergeCell ref="I47:AE47"/>
    <mergeCell ref="AG47:AN47"/>
    <mergeCell ref="AO47:AV47"/>
    <mergeCell ref="AX47:BB47"/>
    <mergeCell ref="B46:E46"/>
    <mergeCell ref="F46:H46"/>
    <mergeCell ref="B50:E50"/>
    <mergeCell ref="F50:H50"/>
    <mergeCell ref="I50:AE50"/>
    <mergeCell ref="AG50:AN50"/>
    <mergeCell ref="AO50:AV50"/>
    <mergeCell ref="AX50:BB50"/>
    <mergeCell ref="B45:E45"/>
    <mergeCell ref="F45:H45"/>
    <mergeCell ref="I45:AE45"/>
    <mergeCell ref="AG45:AN45"/>
    <mergeCell ref="AO45:AV45"/>
    <mergeCell ref="AX45:BB45"/>
    <mergeCell ref="I46:AE46"/>
    <mergeCell ref="AG46:AN46"/>
    <mergeCell ref="AG44:AN44"/>
    <mergeCell ref="AO44:AV44"/>
    <mergeCell ref="AO46:AV46"/>
    <mergeCell ref="AX44:BB44"/>
    <mergeCell ref="B44:E44"/>
    <mergeCell ref="F44:H44"/>
    <mergeCell ref="I44:AE44"/>
    <mergeCell ref="AX46:BB46"/>
    <mergeCell ref="AO42:AV42"/>
    <mergeCell ref="AX42:BB42"/>
    <mergeCell ref="B43:E43"/>
    <mergeCell ref="F43:H43"/>
    <mergeCell ref="I43:AE43"/>
    <mergeCell ref="AG43:AN43"/>
    <mergeCell ref="AO43:AV43"/>
    <mergeCell ref="AX43:BB43"/>
    <mergeCell ref="B42:E42"/>
    <mergeCell ref="F42:H42"/>
    <mergeCell ref="I42:AE42"/>
    <mergeCell ref="AG42:AN42"/>
    <mergeCell ref="AO39:AV39"/>
    <mergeCell ref="AO41:AV41"/>
    <mergeCell ref="AX41:BB41"/>
    <mergeCell ref="B40:E40"/>
    <mergeCell ref="F40:H40"/>
    <mergeCell ref="I40:AE40"/>
    <mergeCell ref="AG40:AN40"/>
    <mergeCell ref="AX38:BB38"/>
    <mergeCell ref="AX40:BB40"/>
    <mergeCell ref="B41:E41"/>
    <mergeCell ref="F41:H41"/>
    <mergeCell ref="I41:AE41"/>
    <mergeCell ref="AG41:AN41"/>
    <mergeCell ref="B39:E39"/>
    <mergeCell ref="F39:H39"/>
    <mergeCell ref="I39:AE39"/>
    <mergeCell ref="AG39:AN39"/>
    <mergeCell ref="B38:E38"/>
    <mergeCell ref="F38:H38"/>
    <mergeCell ref="I38:AE38"/>
    <mergeCell ref="AG38:AN38"/>
    <mergeCell ref="F33:H33"/>
    <mergeCell ref="I33:AE33"/>
    <mergeCell ref="AG33:AN33"/>
    <mergeCell ref="B36:E36"/>
    <mergeCell ref="F36:H36"/>
    <mergeCell ref="I36:AE36"/>
    <mergeCell ref="AG36:AN36"/>
    <mergeCell ref="B35:E35"/>
    <mergeCell ref="F35:H35"/>
    <mergeCell ref="I35:AE35"/>
    <mergeCell ref="AG35:AN35"/>
    <mergeCell ref="B30:E30"/>
    <mergeCell ref="F30:H30"/>
    <mergeCell ref="B29:E29"/>
    <mergeCell ref="F29:H29"/>
    <mergeCell ref="B37:E37"/>
    <mergeCell ref="F37:H37"/>
    <mergeCell ref="AO32:AV32"/>
    <mergeCell ref="AX32:BB32"/>
    <mergeCell ref="AG30:AN30"/>
    <mergeCell ref="B31:E31"/>
    <mergeCell ref="F31:H31"/>
    <mergeCell ref="I31:AE31"/>
    <mergeCell ref="AG31:AN31"/>
    <mergeCell ref="AO30:AV30"/>
    <mergeCell ref="AX30:BB30"/>
    <mergeCell ref="AO31:AV31"/>
    <mergeCell ref="AX31:BB31"/>
    <mergeCell ref="B32:E32"/>
    <mergeCell ref="F32:H32"/>
    <mergeCell ref="I32:AE32"/>
    <mergeCell ref="AG32:AN32"/>
    <mergeCell ref="I37:AE37"/>
    <mergeCell ref="AG37:AN37"/>
    <mergeCell ref="B33:E33"/>
    <mergeCell ref="B26:E26"/>
    <mergeCell ref="F26:H26"/>
    <mergeCell ref="B27:E27"/>
    <mergeCell ref="F27:H27"/>
    <mergeCell ref="I26:AE26"/>
    <mergeCell ref="AG26:AN26"/>
    <mergeCell ref="I29:AE29"/>
    <mergeCell ref="AG29:AN29"/>
    <mergeCell ref="AO27:AV27"/>
    <mergeCell ref="I27:AE27"/>
    <mergeCell ref="AG27:AN27"/>
    <mergeCell ref="B28:E28"/>
    <mergeCell ref="F28:H28"/>
    <mergeCell ref="M3:AT5"/>
    <mergeCell ref="C2:L11"/>
    <mergeCell ref="U13:AK14"/>
    <mergeCell ref="M19:BB20"/>
    <mergeCell ref="B16:K17"/>
    <mergeCell ref="L16:N17"/>
    <mergeCell ref="P16:Z17"/>
    <mergeCell ref="B13:H14"/>
    <mergeCell ref="J13:K14"/>
    <mergeCell ref="L13:M14"/>
    <mergeCell ref="AY10:BB11"/>
    <mergeCell ref="AN10:AX11"/>
    <mergeCell ref="AN13:AX14"/>
    <mergeCell ref="AS16:AX17"/>
    <mergeCell ref="AY16:BB17"/>
    <mergeCell ref="AY13:BB14"/>
    <mergeCell ref="AB64:AI65"/>
    <mergeCell ref="AK61:BB61"/>
    <mergeCell ref="I48:AE48"/>
    <mergeCell ref="B48:E48"/>
    <mergeCell ref="AO29:AV29"/>
    <mergeCell ref="AX29:BB29"/>
    <mergeCell ref="B19:K20"/>
    <mergeCell ref="M6:AT8"/>
    <mergeCell ref="F22:H23"/>
    <mergeCell ref="I22:AE23"/>
    <mergeCell ref="AG22:AN23"/>
    <mergeCell ref="AO22:AV23"/>
    <mergeCell ref="B22:E23"/>
    <mergeCell ref="AB16:AQ17"/>
    <mergeCell ref="B25:E25"/>
    <mergeCell ref="F25:H25"/>
    <mergeCell ref="I25:AE25"/>
    <mergeCell ref="AG25:AN25"/>
    <mergeCell ref="B24:E24"/>
    <mergeCell ref="I24:AE24"/>
    <mergeCell ref="AG24:AN24"/>
    <mergeCell ref="AO24:AV24"/>
    <mergeCell ref="AX24:BB24"/>
    <mergeCell ref="AO25:AV25"/>
    <mergeCell ref="BD22:BD23"/>
    <mergeCell ref="AX22:BB23"/>
    <mergeCell ref="F24:H24"/>
    <mergeCell ref="P13:S14"/>
    <mergeCell ref="AX39:BB39"/>
    <mergeCell ref="AO40:AV40"/>
    <mergeCell ref="I28:AE28"/>
    <mergeCell ref="AG28:AN28"/>
    <mergeCell ref="AO28:AV28"/>
    <mergeCell ref="AX28:BB28"/>
    <mergeCell ref="I30:AE30"/>
    <mergeCell ref="AX25:BB25"/>
    <mergeCell ref="AO26:AV26"/>
    <mergeCell ref="AX26:BB26"/>
    <mergeCell ref="AX27:BB27"/>
    <mergeCell ref="AO33:AV33"/>
    <mergeCell ref="AX33:BB33"/>
    <mergeCell ref="AO35:AV35"/>
    <mergeCell ref="AX35:BB35"/>
    <mergeCell ref="AO36:AV36"/>
    <mergeCell ref="AX36:BB36"/>
    <mergeCell ref="AO37:AV37"/>
    <mergeCell ref="AX37:BB37"/>
    <mergeCell ref="AO38:AV38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68"/>
  <sheetViews>
    <sheetView topLeftCell="A37" zoomScale="150" workbookViewId="0">
      <selection activeCell="P72" sqref="P72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56" width="9" style="48"/>
    <col min="57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85"/>
      <c r="D2" s="85"/>
      <c r="E2" s="85"/>
      <c r="F2" s="85"/>
      <c r="G2" s="85"/>
      <c r="H2" s="85"/>
      <c r="I2" s="85"/>
      <c r="J2" s="85"/>
      <c r="K2" s="85"/>
      <c r="L2" s="85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85"/>
      <c r="D3" s="85"/>
      <c r="E3" s="85"/>
      <c r="F3" s="85"/>
      <c r="G3" s="85"/>
      <c r="H3" s="85"/>
      <c r="I3" s="85"/>
      <c r="J3" s="85"/>
      <c r="K3" s="85"/>
      <c r="L3" s="85"/>
      <c r="M3" s="83" t="s">
        <v>0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85"/>
      <c r="D4" s="85"/>
      <c r="E4" s="85"/>
      <c r="F4" s="85"/>
      <c r="G4" s="85"/>
      <c r="H4" s="85"/>
      <c r="I4" s="85"/>
      <c r="J4" s="85"/>
      <c r="K4" s="85"/>
      <c r="L4" s="85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85"/>
      <c r="D5" s="85"/>
      <c r="E5" s="85"/>
      <c r="F5" s="85"/>
      <c r="G5" s="85"/>
      <c r="H5" s="85"/>
      <c r="I5" s="85"/>
      <c r="J5" s="85"/>
      <c r="K5" s="85"/>
      <c r="L5" s="85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85"/>
      <c r="D6" s="85"/>
      <c r="E6" s="85"/>
      <c r="F6" s="85"/>
      <c r="G6" s="85"/>
      <c r="H6" s="85"/>
      <c r="I6" s="85"/>
      <c r="J6" s="85"/>
      <c r="K6" s="85"/>
      <c r="L6" s="85"/>
      <c r="M6" s="83" t="s">
        <v>75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85"/>
      <c r="D7" s="85"/>
      <c r="E7" s="85"/>
      <c r="F7" s="85"/>
      <c r="G7" s="85"/>
      <c r="H7" s="85"/>
      <c r="I7" s="85"/>
      <c r="J7" s="85"/>
      <c r="K7" s="85"/>
      <c r="L7" s="85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85"/>
      <c r="D8" s="85"/>
      <c r="E8" s="85"/>
      <c r="F8" s="85"/>
      <c r="G8" s="85"/>
      <c r="H8" s="85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85"/>
      <c r="D9" s="85"/>
      <c r="E9" s="85"/>
      <c r="F9" s="85"/>
      <c r="G9" s="85"/>
      <c r="H9" s="85"/>
      <c r="I9" s="85"/>
      <c r="J9" s="85"/>
      <c r="K9" s="85"/>
      <c r="L9" s="85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49" t="s">
        <v>49</v>
      </c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 t="s">
        <v>3</v>
      </c>
      <c r="AZ10" s="49"/>
      <c r="BA10" s="49"/>
      <c r="BB10" s="49"/>
      <c r="BC10" s="22"/>
    </row>
    <row r="11" spans="1:55" ht="6.95" customHeight="1">
      <c r="A11" s="19"/>
      <c r="B11" s="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58"/>
      <c r="AZ11" s="58"/>
      <c r="BA11" s="58"/>
      <c r="BB11" s="58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6" t="s">
        <v>7</v>
      </c>
      <c r="C13" s="56"/>
      <c r="D13" s="56"/>
      <c r="E13" s="56"/>
      <c r="F13" s="56"/>
      <c r="G13" s="56"/>
      <c r="H13" s="56"/>
      <c r="I13" s="5"/>
      <c r="J13" s="59">
        <v>0</v>
      </c>
      <c r="K13" s="59"/>
      <c r="L13" s="56">
        <v>7</v>
      </c>
      <c r="M13" s="56"/>
      <c r="N13" s="5"/>
      <c r="O13" s="5"/>
      <c r="P13" s="49" t="s">
        <v>8</v>
      </c>
      <c r="Q13" s="49"/>
      <c r="R13" s="49"/>
      <c r="S13" s="49"/>
      <c r="T13" s="5"/>
      <c r="U13" s="56" t="s">
        <v>9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"/>
      <c r="AM13" s="5"/>
      <c r="AN13" s="49" t="s">
        <v>50</v>
      </c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>
        <v>2</v>
      </c>
      <c r="AZ13" s="49"/>
      <c r="BA13" s="49"/>
      <c r="BB13" s="49"/>
      <c r="BC13" s="23"/>
    </row>
    <row r="14" spans="1:55" ht="6.95" customHeight="1">
      <c r="A14" s="19"/>
      <c r="B14" s="56"/>
      <c r="C14" s="56"/>
      <c r="D14" s="56"/>
      <c r="E14" s="56"/>
      <c r="F14" s="56"/>
      <c r="G14" s="56"/>
      <c r="H14" s="56"/>
      <c r="I14" s="15"/>
      <c r="J14" s="60"/>
      <c r="K14" s="60"/>
      <c r="L14" s="57"/>
      <c r="M14" s="57"/>
      <c r="N14" s="15"/>
      <c r="O14" s="5"/>
      <c r="P14" s="49"/>
      <c r="Q14" s="49"/>
      <c r="R14" s="49"/>
      <c r="S14" s="49"/>
      <c r="T14" s="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"/>
      <c r="AM14" s="5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58"/>
      <c r="AZ14" s="58"/>
      <c r="BA14" s="58"/>
      <c r="BB14" s="58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6" t="s">
        <v>52</v>
      </c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5"/>
      <c r="P16" s="49" t="s">
        <v>11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"/>
      <c r="AS16" s="49" t="s">
        <v>12</v>
      </c>
      <c r="AT16" s="49"/>
      <c r="AU16" s="49"/>
      <c r="AV16" s="49"/>
      <c r="AW16" s="49"/>
      <c r="AX16" s="49"/>
      <c r="AY16" s="49"/>
      <c r="AZ16" s="49"/>
      <c r="BA16" s="49"/>
      <c r="BB16" s="49"/>
      <c r="BC16" s="22"/>
    </row>
    <row r="17" spans="1:56" ht="6.95" customHeight="1">
      <c r="A17" s="1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8"/>
      <c r="M17" s="58"/>
      <c r="N17" s="58"/>
      <c r="O17" s="5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"/>
      <c r="AS17" s="49"/>
      <c r="AT17" s="49"/>
      <c r="AU17" s="49"/>
      <c r="AV17" s="49"/>
      <c r="AW17" s="49"/>
      <c r="AX17" s="49"/>
      <c r="AY17" s="58"/>
      <c r="AZ17" s="58"/>
      <c r="BA17" s="58"/>
      <c r="BB17" s="58"/>
      <c r="BC17" s="22"/>
    </row>
    <row r="18" spans="1:56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6" ht="6.95" customHeight="1">
      <c r="A19" s="19"/>
      <c r="B19" s="56" t="s">
        <v>51</v>
      </c>
      <c r="C19" s="56"/>
      <c r="D19" s="56"/>
      <c r="E19" s="56"/>
      <c r="F19" s="56"/>
      <c r="G19" s="56"/>
      <c r="H19" s="56"/>
      <c r="I19" s="56"/>
      <c r="J19" s="56"/>
      <c r="K19" s="56"/>
      <c r="L19" s="3"/>
      <c r="M19" s="86" t="s">
        <v>84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22"/>
    </row>
    <row r="20" spans="1:56" ht="6.95" customHeight="1">
      <c r="A20" s="1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30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22"/>
    </row>
    <row r="21" spans="1:56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6" ht="9.75" customHeight="1">
      <c r="A22" s="19"/>
      <c r="B22" s="84" t="s">
        <v>53</v>
      </c>
      <c r="C22" s="62"/>
      <c r="D22" s="62"/>
      <c r="E22" s="62"/>
      <c r="F22" s="84" t="s">
        <v>54</v>
      </c>
      <c r="G22" s="62"/>
      <c r="H22" s="62"/>
      <c r="I22" s="62" t="s">
        <v>55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31"/>
      <c r="AG22" s="76" t="s">
        <v>56</v>
      </c>
      <c r="AH22" s="77"/>
      <c r="AI22" s="77"/>
      <c r="AJ22" s="77"/>
      <c r="AK22" s="77"/>
      <c r="AL22" s="77"/>
      <c r="AM22" s="77"/>
      <c r="AN22" s="77"/>
      <c r="AO22" s="76" t="s">
        <v>57</v>
      </c>
      <c r="AP22" s="77"/>
      <c r="AQ22" s="77"/>
      <c r="AR22" s="77"/>
      <c r="AS22" s="77"/>
      <c r="AT22" s="77"/>
      <c r="AU22" s="77"/>
      <c r="AV22" s="77"/>
      <c r="AW22" s="32"/>
      <c r="AX22" s="76" t="s">
        <v>58</v>
      </c>
      <c r="AY22" s="77"/>
      <c r="AZ22" s="77"/>
      <c r="BA22" s="77"/>
      <c r="BB22" s="77"/>
      <c r="BC22" s="24"/>
      <c r="BD22" s="75" t="s">
        <v>72</v>
      </c>
    </row>
    <row r="23" spans="1:56" ht="9.75" customHeight="1">
      <c r="A23" s="19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11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32"/>
      <c r="AX23" s="77"/>
      <c r="AY23" s="77"/>
      <c r="AZ23" s="77"/>
      <c r="BA23" s="77"/>
      <c r="BB23" s="77"/>
      <c r="BC23" s="22"/>
      <c r="BD23" s="75"/>
    </row>
    <row r="24" spans="1:56" ht="12.75" customHeight="1">
      <c r="A24" s="19"/>
      <c r="B24" s="82">
        <v>1</v>
      </c>
      <c r="C24" s="82"/>
      <c r="D24" s="82"/>
      <c r="E24" s="82"/>
      <c r="F24" s="54">
        <v>0.3</v>
      </c>
      <c r="G24" s="54"/>
      <c r="H24" s="54"/>
      <c r="I24" s="78" t="s">
        <v>133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12"/>
      <c r="AG24" s="78" t="s">
        <v>107</v>
      </c>
      <c r="AH24" s="78"/>
      <c r="AI24" s="78"/>
      <c r="AJ24" s="78"/>
      <c r="AK24" s="78"/>
      <c r="AL24" s="78"/>
      <c r="AM24" s="78"/>
      <c r="AN24" s="78"/>
      <c r="AO24" s="54"/>
      <c r="AP24" s="54"/>
      <c r="AQ24" s="54"/>
      <c r="AR24" s="54"/>
      <c r="AS24" s="54"/>
      <c r="AT24" s="54"/>
      <c r="AU24" s="54"/>
      <c r="AV24" s="54"/>
      <c r="AW24" s="12"/>
      <c r="AX24" s="54"/>
      <c r="AY24" s="54"/>
      <c r="AZ24" s="54"/>
      <c r="BA24" s="54"/>
      <c r="BB24" s="54"/>
      <c r="BC24" s="25"/>
    </row>
    <row r="25" spans="1:56" ht="12.75" customHeight="1">
      <c r="A25" s="19"/>
      <c r="B25" s="82">
        <v>2</v>
      </c>
      <c r="C25" s="82"/>
      <c r="D25" s="82"/>
      <c r="E25" s="82"/>
      <c r="F25" s="54">
        <v>0.3</v>
      </c>
      <c r="G25" s="54"/>
      <c r="H25" s="54"/>
      <c r="I25" s="78" t="s">
        <v>94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12"/>
      <c r="AG25" s="78" t="s">
        <v>108</v>
      </c>
      <c r="AH25" s="78"/>
      <c r="AI25" s="78"/>
      <c r="AJ25" s="78"/>
      <c r="AK25" s="78"/>
      <c r="AL25" s="78"/>
      <c r="AM25" s="78"/>
      <c r="AN25" s="78"/>
      <c r="AO25" s="54"/>
      <c r="AP25" s="54"/>
      <c r="AQ25" s="54"/>
      <c r="AR25" s="54"/>
      <c r="AS25" s="54"/>
      <c r="AT25" s="54"/>
      <c r="AU25" s="54"/>
      <c r="AV25" s="54"/>
      <c r="AW25" s="12"/>
      <c r="AX25" s="54"/>
      <c r="AY25" s="54"/>
      <c r="AZ25" s="54"/>
      <c r="BA25" s="54"/>
      <c r="BB25" s="54"/>
      <c r="BC25" s="25"/>
    </row>
    <row r="26" spans="1:56" ht="12.75" customHeight="1">
      <c r="A26" s="19"/>
      <c r="B26" s="82">
        <v>3</v>
      </c>
      <c r="C26" s="82"/>
      <c r="D26" s="82"/>
      <c r="E26" s="82"/>
      <c r="F26" s="54">
        <v>0.3</v>
      </c>
      <c r="G26" s="54"/>
      <c r="H26" s="54"/>
      <c r="I26" s="78" t="s">
        <v>92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12"/>
      <c r="AG26" s="78" t="s">
        <v>109</v>
      </c>
      <c r="AH26" s="78"/>
      <c r="AI26" s="78"/>
      <c r="AJ26" s="78"/>
      <c r="AK26" s="78"/>
      <c r="AL26" s="78"/>
      <c r="AM26" s="78"/>
      <c r="AN26" s="78"/>
      <c r="AO26" s="54"/>
      <c r="AP26" s="54"/>
      <c r="AQ26" s="54"/>
      <c r="AR26" s="54"/>
      <c r="AS26" s="54"/>
      <c r="AT26" s="54"/>
      <c r="AU26" s="54"/>
      <c r="AV26" s="54"/>
      <c r="AW26" s="12"/>
      <c r="AX26" s="54"/>
      <c r="AY26" s="54"/>
      <c r="AZ26" s="54"/>
      <c r="BA26" s="54"/>
      <c r="BB26" s="54"/>
      <c r="BC26" s="25"/>
    </row>
    <row r="27" spans="1:56" ht="12.75" customHeight="1">
      <c r="A27" s="19"/>
      <c r="B27" s="82">
        <v>4</v>
      </c>
      <c r="C27" s="82"/>
      <c r="D27" s="82"/>
      <c r="E27" s="82"/>
      <c r="F27" s="54">
        <v>0.3</v>
      </c>
      <c r="G27" s="54"/>
      <c r="H27" s="54"/>
      <c r="I27" s="79" t="s">
        <v>134</v>
      </c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1"/>
      <c r="AF27" s="12"/>
      <c r="AG27" s="78" t="s">
        <v>135</v>
      </c>
      <c r="AH27" s="78"/>
      <c r="AI27" s="78"/>
      <c r="AJ27" s="78"/>
      <c r="AK27" s="78"/>
      <c r="AL27" s="78"/>
      <c r="AM27" s="78"/>
      <c r="AN27" s="78"/>
      <c r="AO27" s="54"/>
      <c r="AP27" s="54"/>
      <c r="AQ27" s="54"/>
      <c r="AR27" s="54"/>
      <c r="AS27" s="54"/>
      <c r="AT27" s="54"/>
      <c r="AU27" s="54"/>
      <c r="AV27" s="54"/>
      <c r="AW27" s="12"/>
      <c r="AX27" s="54"/>
      <c r="AY27" s="54"/>
      <c r="AZ27" s="54"/>
      <c r="BA27" s="54"/>
      <c r="BB27" s="54"/>
      <c r="BC27" s="25"/>
    </row>
    <row r="28" spans="1:56" ht="12.75" customHeight="1">
      <c r="A28" s="19"/>
      <c r="B28" s="82">
        <v>5</v>
      </c>
      <c r="C28" s="82"/>
      <c r="D28" s="82"/>
      <c r="E28" s="82"/>
      <c r="F28" s="54">
        <v>0.3</v>
      </c>
      <c r="G28" s="54"/>
      <c r="H28" s="54"/>
      <c r="I28" s="79" t="s">
        <v>91</v>
      </c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1"/>
      <c r="AF28" s="12"/>
      <c r="AG28" s="78" t="s">
        <v>136</v>
      </c>
      <c r="AH28" s="78"/>
      <c r="AI28" s="78"/>
      <c r="AJ28" s="78"/>
      <c r="AK28" s="78"/>
      <c r="AL28" s="78"/>
      <c r="AM28" s="78"/>
      <c r="AN28" s="78"/>
      <c r="AO28" s="54"/>
      <c r="AP28" s="54"/>
      <c r="AQ28" s="54"/>
      <c r="AR28" s="54"/>
      <c r="AS28" s="54"/>
      <c r="AT28" s="54"/>
      <c r="AU28" s="54"/>
      <c r="AV28" s="54"/>
      <c r="AW28" s="12"/>
      <c r="AX28" s="54"/>
      <c r="AY28" s="54"/>
      <c r="AZ28" s="54"/>
      <c r="BA28" s="54"/>
      <c r="BB28" s="54"/>
      <c r="BC28" s="25"/>
    </row>
    <row r="29" spans="1:56" ht="12.75" customHeight="1">
      <c r="A29" s="19"/>
      <c r="B29" s="82">
        <v>6</v>
      </c>
      <c r="C29" s="82"/>
      <c r="D29" s="82"/>
      <c r="E29" s="82"/>
      <c r="F29" s="54">
        <v>0.3</v>
      </c>
      <c r="G29" s="54"/>
      <c r="H29" s="54"/>
      <c r="I29" s="79" t="s">
        <v>137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1"/>
      <c r="AF29" s="12"/>
      <c r="AG29" s="78" t="s">
        <v>111</v>
      </c>
      <c r="AH29" s="78"/>
      <c r="AI29" s="78"/>
      <c r="AJ29" s="78"/>
      <c r="AK29" s="78"/>
      <c r="AL29" s="78"/>
      <c r="AM29" s="78"/>
      <c r="AN29" s="78"/>
      <c r="AO29" s="54"/>
      <c r="AP29" s="54"/>
      <c r="AQ29" s="54"/>
      <c r="AR29" s="54"/>
      <c r="AS29" s="54"/>
      <c r="AT29" s="54"/>
      <c r="AU29" s="54"/>
      <c r="AV29" s="54"/>
      <c r="AW29" s="12"/>
      <c r="AX29" s="54"/>
      <c r="AY29" s="54"/>
      <c r="AZ29" s="54"/>
      <c r="BA29" s="54"/>
      <c r="BB29" s="54"/>
      <c r="BC29" s="25"/>
    </row>
    <row r="30" spans="1:56" ht="12.75" customHeight="1">
      <c r="A30" s="19"/>
      <c r="B30" s="82">
        <v>7</v>
      </c>
      <c r="C30" s="82"/>
      <c r="D30" s="82"/>
      <c r="E30" s="82"/>
      <c r="F30" s="54">
        <v>0.3</v>
      </c>
      <c r="G30" s="54"/>
      <c r="H30" s="54"/>
      <c r="I30" s="78" t="s">
        <v>89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12"/>
      <c r="AG30" s="78" t="s">
        <v>112</v>
      </c>
      <c r="AH30" s="78"/>
      <c r="AI30" s="78"/>
      <c r="AJ30" s="78"/>
      <c r="AK30" s="78"/>
      <c r="AL30" s="78"/>
      <c r="AM30" s="78"/>
      <c r="AN30" s="78"/>
      <c r="AO30" s="54"/>
      <c r="AP30" s="54"/>
      <c r="AQ30" s="54"/>
      <c r="AR30" s="54"/>
      <c r="AS30" s="54"/>
      <c r="AT30" s="54"/>
      <c r="AU30" s="54"/>
      <c r="AV30" s="54"/>
      <c r="AW30" s="12"/>
      <c r="AX30" s="54"/>
      <c r="AY30" s="54"/>
      <c r="AZ30" s="54"/>
      <c r="BA30" s="54"/>
      <c r="BB30" s="54"/>
      <c r="BC30" s="25"/>
    </row>
    <row r="31" spans="1:56" ht="12.75" customHeight="1">
      <c r="A31" s="19"/>
      <c r="B31" s="82">
        <v>8</v>
      </c>
      <c r="C31" s="82"/>
      <c r="D31" s="82"/>
      <c r="E31" s="82"/>
      <c r="F31" s="54">
        <v>0.3</v>
      </c>
      <c r="G31" s="54"/>
      <c r="H31" s="54"/>
      <c r="I31" s="78" t="s">
        <v>138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12"/>
      <c r="AG31" s="78" t="s">
        <v>113</v>
      </c>
      <c r="AH31" s="78"/>
      <c r="AI31" s="78"/>
      <c r="AJ31" s="78"/>
      <c r="AK31" s="78"/>
      <c r="AL31" s="78"/>
      <c r="AM31" s="78"/>
      <c r="AN31" s="78"/>
      <c r="AO31" s="54"/>
      <c r="AP31" s="54"/>
      <c r="AQ31" s="54"/>
      <c r="AR31" s="54"/>
      <c r="AS31" s="54"/>
      <c r="AT31" s="54"/>
      <c r="AU31" s="54"/>
      <c r="AV31" s="54"/>
      <c r="AW31" s="12"/>
      <c r="AX31" s="54"/>
      <c r="AY31" s="54"/>
      <c r="AZ31" s="54"/>
      <c r="BA31" s="54"/>
      <c r="BB31" s="54"/>
      <c r="BC31" s="25"/>
    </row>
    <row r="32" spans="1:56" ht="12.75" customHeight="1">
      <c r="A32" s="19"/>
      <c r="B32" s="82">
        <v>9</v>
      </c>
      <c r="C32" s="82"/>
      <c r="D32" s="82"/>
      <c r="E32" s="82"/>
      <c r="F32" s="54">
        <v>0.7</v>
      </c>
      <c r="G32" s="54"/>
      <c r="H32" s="54"/>
      <c r="I32" s="78" t="s">
        <v>132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12"/>
      <c r="AG32" s="78" t="s">
        <v>114</v>
      </c>
      <c r="AH32" s="78"/>
      <c r="AI32" s="78"/>
      <c r="AJ32" s="78"/>
      <c r="AK32" s="78"/>
      <c r="AL32" s="78"/>
      <c r="AM32" s="78"/>
      <c r="AN32" s="78"/>
      <c r="AO32" s="54"/>
      <c r="AP32" s="54"/>
      <c r="AQ32" s="54"/>
      <c r="AR32" s="54"/>
      <c r="AS32" s="54"/>
      <c r="AT32" s="54"/>
      <c r="AU32" s="54"/>
      <c r="AV32" s="54"/>
      <c r="AW32" s="12"/>
      <c r="AX32" s="54"/>
      <c r="AY32" s="54"/>
      <c r="AZ32" s="54"/>
      <c r="BA32" s="54"/>
      <c r="BB32" s="54"/>
      <c r="BC32" s="25"/>
    </row>
    <row r="33" spans="1:55" ht="12.75" customHeight="1">
      <c r="A33" s="19"/>
      <c r="B33" s="82">
        <v>10</v>
      </c>
      <c r="C33" s="82"/>
      <c r="D33" s="82"/>
      <c r="E33" s="82"/>
      <c r="F33" s="54">
        <v>0.4</v>
      </c>
      <c r="G33" s="54"/>
      <c r="H33" s="54"/>
      <c r="I33" s="78" t="s">
        <v>139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12"/>
      <c r="AG33" s="78" t="s">
        <v>117</v>
      </c>
      <c r="AH33" s="78"/>
      <c r="AI33" s="78"/>
      <c r="AJ33" s="78"/>
      <c r="AK33" s="78"/>
      <c r="AL33" s="78"/>
      <c r="AM33" s="78"/>
      <c r="AN33" s="78"/>
      <c r="AO33" s="54"/>
      <c r="AP33" s="54"/>
      <c r="AQ33" s="54"/>
      <c r="AR33" s="54"/>
      <c r="AS33" s="54"/>
      <c r="AT33" s="54"/>
      <c r="AU33" s="54"/>
      <c r="AV33" s="54"/>
      <c r="AW33" s="12"/>
      <c r="AX33" s="54"/>
      <c r="AY33" s="54"/>
      <c r="AZ33" s="54"/>
      <c r="BA33" s="54"/>
      <c r="BB33" s="54"/>
      <c r="BC33" s="25"/>
    </row>
    <row r="34" spans="1:55" ht="12.75" customHeight="1">
      <c r="A34" s="19"/>
      <c r="B34" s="82">
        <v>11</v>
      </c>
      <c r="C34" s="82"/>
      <c r="D34" s="82"/>
      <c r="E34" s="82"/>
      <c r="F34" s="54">
        <v>0.4</v>
      </c>
      <c r="G34" s="54"/>
      <c r="H34" s="54"/>
      <c r="I34" s="78" t="s">
        <v>140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12"/>
      <c r="AG34" s="78" t="s">
        <v>117</v>
      </c>
      <c r="AH34" s="78"/>
      <c r="AI34" s="78"/>
      <c r="AJ34" s="78"/>
      <c r="AK34" s="78"/>
      <c r="AL34" s="78"/>
      <c r="AM34" s="78"/>
      <c r="AN34" s="78"/>
      <c r="AO34" s="54"/>
      <c r="AP34" s="54"/>
      <c r="AQ34" s="54"/>
      <c r="AR34" s="54"/>
      <c r="AS34" s="54"/>
      <c r="AT34" s="54"/>
      <c r="AU34" s="54"/>
      <c r="AV34" s="54"/>
      <c r="AW34" s="12"/>
      <c r="AX34" s="54"/>
      <c r="AY34" s="54"/>
      <c r="AZ34" s="54"/>
      <c r="BA34" s="54"/>
      <c r="BB34" s="54"/>
      <c r="BC34" s="25"/>
    </row>
    <row r="35" spans="1:55" ht="12.75" customHeight="1">
      <c r="A35" s="19"/>
      <c r="B35" s="82">
        <v>12</v>
      </c>
      <c r="C35" s="82"/>
      <c r="D35" s="82"/>
      <c r="E35" s="82"/>
      <c r="F35" s="54">
        <v>0.4</v>
      </c>
      <c r="G35" s="54"/>
      <c r="H35" s="54"/>
      <c r="I35" s="78" t="s">
        <v>141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46"/>
      <c r="AG35" s="78" t="s">
        <v>117</v>
      </c>
      <c r="AH35" s="78"/>
      <c r="AI35" s="78"/>
      <c r="AJ35" s="78"/>
      <c r="AK35" s="78"/>
      <c r="AL35" s="78"/>
      <c r="AM35" s="78"/>
      <c r="AN35" s="78"/>
      <c r="AO35" s="54"/>
      <c r="AP35" s="54"/>
      <c r="AQ35" s="54"/>
      <c r="AR35" s="54"/>
      <c r="AS35" s="54"/>
      <c r="AT35" s="54"/>
      <c r="AU35" s="54"/>
      <c r="AV35" s="54"/>
      <c r="AW35" s="12"/>
      <c r="AX35" s="54"/>
      <c r="AY35" s="54"/>
      <c r="AZ35" s="54"/>
      <c r="BA35" s="54"/>
      <c r="BB35" s="54"/>
      <c r="BC35" s="25"/>
    </row>
    <row r="36" spans="1:55" ht="12.75" customHeight="1">
      <c r="A36" s="19"/>
      <c r="B36" s="82">
        <v>13</v>
      </c>
      <c r="C36" s="82"/>
      <c r="D36" s="82"/>
      <c r="E36" s="82"/>
      <c r="F36" s="54">
        <v>0.4</v>
      </c>
      <c r="G36" s="54"/>
      <c r="H36" s="54"/>
      <c r="I36" s="78" t="s">
        <v>142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46"/>
      <c r="AG36" s="78" t="s">
        <v>117</v>
      </c>
      <c r="AH36" s="78"/>
      <c r="AI36" s="78"/>
      <c r="AJ36" s="78"/>
      <c r="AK36" s="78"/>
      <c r="AL36" s="78"/>
      <c r="AM36" s="78"/>
      <c r="AN36" s="78"/>
      <c r="AO36" s="54"/>
      <c r="AP36" s="54"/>
      <c r="AQ36" s="54"/>
      <c r="AR36" s="54"/>
      <c r="AS36" s="54"/>
      <c r="AT36" s="54"/>
      <c r="AU36" s="54"/>
      <c r="AV36" s="54"/>
      <c r="AW36" s="12"/>
      <c r="AX36" s="54"/>
      <c r="AY36" s="54"/>
      <c r="AZ36" s="54"/>
      <c r="BA36" s="54"/>
      <c r="BB36" s="54"/>
      <c r="BC36" s="25"/>
    </row>
    <row r="37" spans="1:55" ht="12.75" customHeight="1">
      <c r="A37" s="19"/>
      <c r="B37" s="82">
        <v>14</v>
      </c>
      <c r="C37" s="82"/>
      <c r="D37" s="82"/>
      <c r="E37" s="82"/>
      <c r="F37" s="54">
        <v>0.4</v>
      </c>
      <c r="G37" s="54"/>
      <c r="H37" s="54"/>
      <c r="I37" s="78" t="s">
        <v>139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12"/>
      <c r="AG37" s="78" t="s">
        <v>118</v>
      </c>
      <c r="AH37" s="78"/>
      <c r="AI37" s="78"/>
      <c r="AJ37" s="78"/>
      <c r="AK37" s="78"/>
      <c r="AL37" s="78"/>
      <c r="AM37" s="78"/>
      <c r="AN37" s="78"/>
      <c r="AO37" s="54"/>
      <c r="AP37" s="54"/>
      <c r="AQ37" s="54"/>
      <c r="AR37" s="54"/>
      <c r="AS37" s="54"/>
      <c r="AT37" s="54"/>
      <c r="AU37" s="54"/>
      <c r="AV37" s="54"/>
      <c r="AW37" s="12"/>
      <c r="AX37" s="54"/>
      <c r="AY37" s="54"/>
      <c r="AZ37" s="54"/>
      <c r="BA37" s="54"/>
      <c r="BB37" s="54"/>
      <c r="BC37" s="25"/>
    </row>
    <row r="38" spans="1:55" ht="12.75" customHeight="1">
      <c r="A38" s="19"/>
      <c r="B38" s="82">
        <v>15</v>
      </c>
      <c r="C38" s="82"/>
      <c r="D38" s="82"/>
      <c r="E38" s="82"/>
      <c r="F38" s="54">
        <v>0.4</v>
      </c>
      <c r="G38" s="54"/>
      <c r="H38" s="54"/>
      <c r="I38" s="78" t="s">
        <v>143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12"/>
      <c r="AG38" s="78" t="s">
        <v>118</v>
      </c>
      <c r="AH38" s="78"/>
      <c r="AI38" s="78"/>
      <c r="AJ38" s="78"/>
      <c r="AK38" s="78"/>
      <c r="AL38" s="78"/>
      <c r="AM38" s="78"/>
      <c r="AN38" s="78"/>
      <c r="AO38" s="54"/>
      <c r="AP38" s="54"/>
      <c r="AQ38" s="54"/>
      <c r="AR38" s="54"/>
      <c r="AS38" s="54"/>
      <c r="AT38" s="54"/>
      <c r="AU38" s="54"/>
      <c r="AV38" s="54"/>
      <c r="AW38" s="12"/>
      <c r="AX38" s="54"/>
      <c r="AY38" s="54"/>
      <c r="AZ38" s="54"/>
      <c r="BA38" s="54"/>
      <c r="BB38" s="54"/>
      <c r="BC38" s="25"/>
    </row>
    <row r="39" spans="1:55" ht="12.75" customHeight="1">
      <c r="A39" s="19"/>
      <c r="B39" s="82">
        <v>16</v>
      </c>
      <c r="C39" s="82"/>
      <c r="D39" s="82"/>
      <c r="E39" s="82"/>
      <c r="F39" s="54">
        <v>0.3</v>
      </c>
      <c r="G39" s="54"/>
      <c r="H39" s="54"/>
      <c r="I39" s="78" t="s">
        <v>143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12"/>
      <c r="AG39" s="78" t="s">
        <v>156</v>
      </c>
      <c r="AH39" s="78"/>
      <c r="AI39" s="78"/>
      <c r="AJ39" s="78"/>
      <c r="AK39" s="78"/>
      <c r="AL39" s="78"/>
      <c r="AM39" s="78"/>
      <c r="AN39" s="78"/>
      <c r="AO39" s="54"/>
      <c r="AP39" s="54"/>
      <c r="AQ39" s="54"/>
      <c r="AR39" s="54"/>
      <c r="AS39" s="54"/>
      <c r="AT39" s="54"/>
      <c r="AU39" s="54"/>
      <c r="AV39" s="54"/>
      <c r="AW39" s="12"/>
      <c r="AX39" s="54"/>
      <c r="AY39" s="54"/>
      <c r="AZ39" s="54"/>
      <c r="BA39" s="54"/>
      <c r="BB39" s="54"/>
      <c r="BC39" s="25"/>
    </row>
    <row r="40" spans="1:55" ht="12.75" customHeight="1">
      <c r="A40" s="19"/>
      <c r="B40" s="82">
        <v>17</v>
      </c>
      <c r="C40" s="82"/>
      <c r="D40" s="82"/>
      <c r="E40" s="82"/>
      <c r="F40" s="54">
        <v>0.3</v>
      </c>
      <c r="G40" s="54"/>
      <c r="H40" s="54"/>
      <c r="I40" s="78" t="s">
        <v>155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12"/>
      <c r="AG40" s="78">
        <v>32</v>
      </c>
      <c r="AH40" s="78"/>
      <c r="AI40" s="78"/>
      <c r="AJ40" s="78"/>
      <c r="AK40" s="78"/>
      <c r="AL40" s="78"/>
      <c r="AM40" s="78"/>
      <c r="AN40" s="78"/>
      <c r="AO40" s="54"/>
      <c r="AP40" s="54"/>
      <c r="AQ40" s="54"/>
      <c r="AR40" s="54"/>
      <c r="AS40" s="54"/>
      <c r="AT40" s="54"/>
      <c r="AU40" s="54"/>
      <c r="AV40" s="54"/>
      <c r="AW40" s="12"/>
      <c r="AX40" s="54"/>
      <c r="AY40" s="54"/>
      <c r="AZ40" s="54"/>
      <c r="BA40" s="54"/>
      <c r="BB40" s="54"/>
      <c r="BC40" s="25"/>
    </row>
    <row r="41" spans="1:55" ht="12.75" customHeight="1">
      <c r="A41" s="19"/>
      <c r="B41" s="82">
        <v>18</v>
      </c>
      <c r="C41" s="82"/>
      <c r="D41" s="82"/>
      <c r="E41" s="82"/>
      <c r="F41" s="54">
        <v>0.3</v>
      </c>
      <c r="G41" s="54"/>
      <c r="H41" s="54"/>
      <c r="I41" s="78" t="s">
        <v>115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12"/>
      <c r="AG41" s="78" t="s">
        <v>116</v>
      </c>
      <c r="AH41" s="78"/>
      <c r="AI41" s="78"/>
      <c r="AJ41" s="78"/>
      <c r="AK41" s="78"/>
      <c r="AL41" s="78"/>
      <c r="AM41" s="78"/>
      <c r="AN41" s="78"/>
      <c r="AO41" s="54"/>
      <c r="AP41" s="54"/>
      <c r="AQ41" s="54"/>
      <c r="AR41" s="54"/>
      <c r="AS41" s="54"/>
      <c r="AT41" s="54"/>
      <c r="AU41" s="54"/>
      <c r="AV41" s="54"/>
      <c r="AW41" s="12"/>
      <c r="AX41" s="54"/>
      <c r="AY41" s="54"/>
      <c r="AZ41" s="54"/>
      <c r="BA41" s="54"/>
      <c r="BB41" s="54"/>
      <c r="BC41" s="25"/>
    </row>
    <row r="42" spans="1:55" ht="12.75" customHeight="1">
      <c r="A42" s="19"/>
      <c r="B42" s="82">
        <v>19</v>
      </c>
      <c r="C42" s="82"/>
      <c r="D42" s="82"/>
      <c r="E42" s="82"/>
      <c r="F42" s="54">
        <v>0.3</v>
      </c>
      <c r="G42" s="54"/>
      <c r="H42" s="54"/>
      <c r="I42" s="78" t="s">
        <v>158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12"/>
      <c r="AG42" s="78" t="s">
        <v>157</v>
      </c>
      <c r="AH42" s="78"/>
      <c r="AI42" s="78"/>
      <c r="AJ42" s="78"/>
      <c r="AK42" s="78"/>
      <c r="AL42" s="78"/>
      <c r="AM42" s="78"/>
      <c r="AN42" s="78"/>
      <c r="AO42" s="54"/>
      <c r="AP42" s="54"/>
      <c r="AQ42" s="54"/>
      <c r="AR42" s="54"/>
      <c r="AS42" s="54"/>
      <c r="AT42" s="54"/>
      <c r="AU42" s="54"/>
      <c r="AV42" s="54"/>
      <c r="AW42" s="12"/>
      <c r="AX42" s="54"/>
      <c r="AY42" s="54"/>
      <c r="AZ42" s="54"/>
      <c r="BA42" s="54"/>
      <c r="BB42" s="54"/>
      <c r="BC42" s="25"/>
    </row>
    <row r="43" spans="1:55" ht="12.75" customHeight="1">
      <c r="A43" s="19"/>
      <c r="B43" s="82">
        <v>20</v>
      </c>
      <c r="C43" s="82"/>
      <c r="D43" s="82"/>
      <c r="E43" s="82"/>
      <c r="F43" s="54">
        <v>0.3</v>
      </c>
      <c r="G43" s="54"/>
      <c r="H43" s="54"/>
      <c r="I43" s="78" t="s">
        <v>159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12"/>
      <c r="AG43" s="78" t="s">
        <v>160</v>
      </c>
      <c r="AH43" s="78"/>
      <c r="AI43" s="78"/>
      <c r="AJ43" s="78"/>
      <c r="AK43" s="78"/>
      <c r="AL43" s="78"/>
      <c r="AM43" s="78"/>
      <c r="AN43" s="78"/>
      <c r="AO43" s="54"/>
      <c r="AP43" s="54"/>
      <c r="AQ43" s="54"/>
      <c r="AR43" s="54"/>
      <c r="AS43" s="54"/>
      <c r="AT43" s="54"/>
      <c r="AU43" s="54"/>
      <c r="AV43" s="54"/>
      <c r="AW43" s="12"/>
      <c r="AX43" s="54"/>
      <c r="AY43" s="54"/>
      <c r="AZ43" s="54"/>
      <c r="BA43" s="54"/>
      <c r="BB43" s="54"/>
      <c r="BC43" s="25"/>
    </row>
    <row r="44" spans="1:55" ht="12.75" customHeight="1">
      <c r="A44" s="19"/>
      <c r="B44" s="82">
        <v>21</v>
      </c>
      <c r="C44" s="82"/>
      <c r="D44" s="82"/>
      <c r="E44" s="82"/>
      <c r="F44" s="54"/>
      <c r="G44" s="54"/>
      <c r="H44" s="54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12"/>
      <c r="AG44" s="78"/>
      <c r="AH44" s="78"/>
      <c r="AI44" s="78"/>
      <c r="AJ44" s="78"/>
      <c r="AK44" s="78"/>
      <c r="AL44" s="78"/>
      <c r="AM44" s="78"/>
      <c r="AN44" s="78"/>
      <c r="AO44" s="54"/>
      <c r="AP44" s="54"/>
      <c r="AQ44" s="54"/>
      <c r="AR44" s="54"/>
      <c r="AS44" s="54"/>
      <c r="AT44" s="54"/>
      <c r="AU44" s="54"/>
      <c r="AV44" s="54"/>
      <c r="AW44" s="12"/>
      <c r="AX44" s="54"/>
      <c r="AY44" s="54"/>
      <c r="AZ44" s="54"/>
      <c r="BA44" s="54"/>
      <c r="BB44" s="54"/>
      <c r="BC44" s="25"/>
    </row>
    <row r="45" spans="1:55" ht="12.75" customHeight="1">
      <c r="A45" s="19"/>
      <c r="B45" s="82">
        <v>22</v>
      </c>
      <c r="C45" s="82"/>
      <c r="D45" s="82"/>
      <c r="E45" s="82"/>
      <c r="F45" s="54"/>
      <c r="G45" s="54"/>
      <c r="H45" s="54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12"/>
      <c r="AG45" s="78"/>
      <c r="AH45" s="78"/>
      <c r="AI45" s="78"/>
      <c r="AJ45" s="78"/>
      <c r="AK45" s="78"/>
      <c r="AL45" s="78"/>
      <c r="AM45" s="78"/>
      <c r="AN45" s="78"/>
      <c r="AO45" s="54"/>
      <c r="AP45" s="54"/>
      <c r="AQ45" s="54"/>
      <c r="AR45" s="54"/>
      <c r="AS45" s="54"/>
      <c r="AT45" s="54"/>
      <c r="AU45" s="54"/>
      <c r="AV45" s="54"/>
      <c r="AW45" s="12"/>
      <c r="AX45" s="54"/>
      <c r="AY45" s="54"/>
      <c r="AZ45" s="54"/>
      <c r="BA45" s="54"/>
      <c r="BB45" s="54"/>
      <c r="BC45" s="25"/>
    </row>
    <row r="46" spans="1:55" ht="12.75" customHeight="1">
      <c r="A46" s="19"/>
      <c r="B46" s="82">
        <v>23</v>
      </c>
      <c r="C46" s="82"/>
      <c r="D46" s="82"/>
      <c r="E46" s="82"/>
      <c r="F46" s="54"/>
      <c r="G46" s="54"/>
      <c r="H46" s="54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12"/>
      <c r="AG46" s="78"/>
      <c r="AH46" s="78"/>
      <c r="AI46" s="78"/>
      <c r="AJ46" s="78"/>
      <c r="AK46" s="78"/>
      <c r="AL46" s="78"/>
      <c r="AM46" s="78"/>
      <c r="AN46" s="78"/>
      <c r="AO46" s="54"/>
      <c r="AP46" s="54"/>
      <c r="AQ46" s="54"/>
      <c r="AR46" s="54"/>
      <c r="AS46" s="54"/>
      <c r="AT46" s="54"/>
      <c r="AU46" s="54"/>
      <c r="AV46" s="54"/>
      <c r="AW46" s="12"/>
      <c r="AX46" s="54"/>
      <c r="AY46" s="54"/>
      <c r="AZ46" s="54"/>
      <c r="BA46" s="54"/>
      <c r="BB46" s="54"/>
      <c r="BC46" s="25"/>
    </row>
    <row r="47" spans="1:55" ht="12.75" customHeight="1">
      <c r="A47" s="19"/>
      <c r="B47" s="82">
        <v>24</v>
      </c>
      <c r="C47" s="82"/>
      <c r="D47" s="82"/>
      <c r="E47" s="82"/>
      <c r="F47" s="54"/>
      <c r="G47" s="54"/>
      <c r="H47" s="54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12"/>
      <c r="AG47" s="78"/>
      <c r="AH47" s="78"/>
      <c r="AI47" s="78"/>
      <c r="AJ47" s="78"/>
      <c r="AK47" s="78"/>
      <c r="AL47" s="78"/>
      <c r="AM47" s="78"/>
      <c r="AN47" s="78"/>
      <c r="AO47" s="54"/>
      <c r="AP47" s="54"/>
      <c r="AQ47" s="54"/>
      <c r="AR47" s="54"/>
      <c r="AS47" s="54"/>
      <c r="AT47" s="54"/>
      <c r="AU47" s="54"/>
      <c r="AV47" s="54"/>
      <c r="AW47" s="12"/>
      <c r="AX47" s="54"/>
      <c r="AY47" s="54"/>
      <c r="AZ47" s="54"/>
      <c r="BA47" s="54"/>
      <c r="BB47" s="54"/>
      <c r="BC47" s="25"/>
    </row>
    <row r="48" spans="1:55" ht="12.75" customHeight="1">
      <c r="A48" s="19"/>
      <c r="B48" s="82">
        <v>25</v>
      </c>
      <c r="C48" s="82"/>
      <c r="D48" s="82"/>
      <c r="E48" s="82"/>
      <c r="F48" s="54"/>
      <c r="G48" s="54"/>
      <c r="H48" s="54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12"/>
      <c r="AG48" s="78"/>
      <c r="AH48" s="78"/>
      <c r="AI48" s="78"/>
      <c r="AJ48" s="78"/>
      <c r="AK48" s="78"/>
      <c r="AL48" s="78"/>
      <c r="AM48" s="78"/>
      <c r="AN48" s="78"/>
      <c r="AO48" s="54"/>
      <c r="AP48" s="54"/>
      <c r="AQ48" s="54"/>
      <c r="AR48" s="54"/>
      <c r="AS48" s="54"/>
      <c r="AT48" s="54"/>
      <c r="AU48" s="54"/>
      <c r="AV48" s="54"/>
      <c r="AW48" s="12"/>
      <c r="AX48" s="54"/>
      <c r="AY48" s="54"/>
      <c r="AZ48" s="54"/>
      <c r="BA48" s="54"/>
      <c r="BB48" s="54"/>
      <c r="BC48" s="25"/>
    </row>
    <row r="49" spans="1:56" ht="12.75" customHeight="1">
      <c r="A49" s="19"/>
      <c r="B49" s="82">
        <v>26</v>
      </c>
      <c r="C49" s="82"/>
      <c r="D49" s="82"/>
      <c r="E49" s="82"/>
      <c r="F49" s="54"/>
      <c r="G49" s="54"/>
      <c r="H49" s="54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12"/>
      <c r="AG49" s="78"/>
      <c r="AH49" s="78"/>
      <c r="AI49" s="78"/>
      <c r="AJ49" s="78"/>
      <c r="AK49" s="78"/>
      <c r="AL49" s="78"/>
      <c r="AM49" s="78"/>
      <c r="AN49" s="78"/>
      <c r="AO49" s="54"/>
      <c r="AP49" s="54"/>
      <c r="AQ49" s="54"/>
      <c r="AR49" s="54"/>
      <c r="AS49" s="54"/>
      <c r="AT49" s="54"/>
      <c r="AU49" s="54"/>
      <c r="AV49" s="54"/>
      <c r="AW49" s="12"/>
      <c r="AX49" s="54"/>
      <c r="AY49" s="54"/>
      <c r="AZ49" s="54"/>
      <c r="BA49" s="54"/>
      <c r="BB49" s="54"/>
      <c r="BC49" s="25"/>
    </row>
    <row r="50" spans="1:56" ht="12.75" customHeight="1">
      <c r="A50" s="19"/>
      <c r="B50" s="82">
        <v>27</v>
      </c>
      <c r="C50" s="82"/>
      <c r="D50" s="82"/>
      <c r="E50" s="82"/>
      <c r="F50" s="54"/>
      <c r="G50" s="54"/>
      <c r="H50" s="54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12"/>
      <c r="AG50" s="78"/>
      <c r="AH50" s="78"/>
      <c r="AI50" s="78"/>
      <c r="AJ50" s="78"/>
      <c r="AK50" s="78"/>
      <c r="AL50" s="78"/>
      <c r="AM50" s="78"/>
      <c r="AN50" s="78"/>
      <c r="AO50" s="54"/>
      <c r="AP50" s="54"/>
      <c r="AQ50" s="54"/>
      <c r="AR50" s="54"/>
      <c r="AS50" s="54"/>
      <c r="AT50" s="54"/>
      <c r="AU50" s="54"/>
      <c r="AV50" s="54"/>
      <c r="AW50" s="12"/>
      <c r="AX50" s="54"/>
      <c r="AY50" s="54"/>
      <c r="AZ50" s="54"/>
      <c r="BA50" s="54"/>
      <c r="BB50" s="54"/>
      <c r="BC50" s="25"/>
    </row>
    <row r="51" spans="1:56" ht="12.75" customHeight="1">
      <c r="A51" s="19"/>
      <c r="B51" s="82">
        <v>28</v>
      </c>
      <c r="C51" s="82"/>
      <c r="D51" s="82"/>
      <c r="E51" s="82"/>
      <c r="F51" s="54"/>
      <c r="G51" s="54"/>
      <c r="H51" s="54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12"/>
      <c r="AG51" s="78"/>
      <c r="AH51" s="78"/>
      <c r="AI51" s="78"/>
      <c r="AJ51" s="78"/>
      <c r="AK51" s="78"/>
      <c r="AL51" s="78"/>
      <c r="AM51" s="78"/>
      <c r="AN51" s="78"/>
      <c r="AO51" s="54"/>
      <c r="AP51" s="54"/>
      <c r="AQ51" s="54"/>
      <c r="AR51" s="54"/>
      <c r="AS51" s="54"/>
      <c r="AT51" s="54"/>
      <c r="AU51" s="54"/>
      <c r="AV51" s="54"/>
      <c r="AW51" s="12"/>
      <c r="AX51" s="54"/>
      <c r="AY51" s="54"/>
      <c r="AZ51" s="54"/>
      <c r="BA51" s="54"/>
      <c r="BB51" s="54"/>
      <c r="BC51" s="25"/>
    </row>
    <row r="52" spans="1:56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6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6" s="35" customFormat="1" ht="8.1" customHeight="1">
      <c r="A54" s="34"/>
      <c r="B54" s="10"/>
      <c r="C54" s="10"/>
      <c r="D54" s="10"/>
      <c r="E54" s="10"/>
      <c r="F54" s="92">
        <f>SUM(F24:H51)</f>
        <v>7</v>
      </c>
      <c r="G54" s="92"/>
      <c r="H54" s="92"/>
      <c r="I54" s="91" t="s">
        <v>66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10"/>
      <c r="AG54" s="10"/>
      <c r="AH54" s="10"/>
      <c r="AI54" s="10"/>
      <c r="AJ54" s="10"/>
      <c r="AK54" s="10"/>
      <c r="AL54" s="10"/>
      <c r="AM54" s="10"/>
      <c r="AN54" s="50" t="s">
        <v>59</v>
      </c>
      <c r="AO54" s="50"/>
      <c r="AP54" s="50"/>
      <c r="AQ54" s="50"/>
      <c r="AR54" s="50"/>
      <c r="AS54" s="50"/>
      <c r="AT54" s="50"/>
      <c r="AU54" s="50"/>
      <c r="AV54" s="50"/>
      <c r="AW54" s="10"/>
      <c r="AX54" s="92">
        <f>SUM(AX24:BB51)</f>
        <v>0</v>
      </c>
      <c r="AY54" s="92"/>
      <c r="AZ54" s="92"/>
      <c r="BA54" s="92"/>
      <c r="BB54" s="92"/>
      <c r="BC54" s="36"/>
      <c r="BD54" s="47"/>
    </row>
    <row r="55" spans="1:56" s="35" customFormat="1" ht="8.1" customHeight="1">
      <c r="A55" s="34"/>
      <c r="B55" s="10"/>
      <c r="C55" s="10"/>
      <c r="D55" s="10"/>
      <c r="E55" s="10"/>
      <c r="F55" s="93"/>
      <c r="G55" s="93"/>
      <c r="H55" s="93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10"/>
      <c r="AG55" s="10"/>
      <c r="AH55" s="10"/>
      <c r="AI55" s="10"/>
      <c r="AJ55" s="10"/>
      <c r="AK55" s="10"/>
      <c r="AL55" s="10"/>
      <c r="AM55" s="10"/>
      <c r="AN55" s="50"/>
      <c r="AO55" s="50"/>
      <c r="AP55" s="50"/>
      <c r="AQ55" s="50"/>
      <c r="AR55" s="50"/>
      <c r="AS55" s="50"/>
      <c r="AT55" s="50"/>
      <c r="AU55" s="50"/>
      <c r="AV55" s="50"/>
      <c r="AW55" s="10"/>
      <c r="AX55" s="93"/>
      <c r="AY55" s="93"/>
      <c r="AZ55" s="93"/>
      <c r="BA55" s="93"/>
      <c r="BB55" s="93"/>
      <c r="BC55" s="38"/>
      <c r="BD55" s="47"/>
    </row>
    <row r="56" spans="1:56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47"/>
    </row>
    <row r="57" spans="1:56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47"/>
    </row>
    <row r="58" spans="1:56" s="35" customFormat="1" ht="8.1" customHeight="1">
      <c r="A58" s="34"/>
      <c r="B58" s="91" t="s">
        <v>60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47"/>
    </row>
    <row r="59" spans="1:56" s="35" customFormat="1" ht="8.1" customHeight="1">
      <c r="A59" s="3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47"/>
    </row>
    <row r="60" spans="1:56" s="35" customFormat="1" ht="11.25" customHeight="1">
      <c r="A60" s="34"/>
      <c r="B60" s="62" t="s">
        <v>61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11"/>
      <c r="S60" s="62" t="s">
        <v>24</v>
      </c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47"/>
    </row>
    <row r="61" spans="1:56" s="35" customFormat="1" ht="8.1" customHeight="1">
      <c r="A61" s="3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11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"/>
      <c r="AK61" s="65" t="s">
        <v>63</v>
      </c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41"/>
      <c r="BD61" s="47"/>
    </row>
    <row r="62" spans="1:56" s="35" customFormat="1" ht="8.1" customHeight="1">
      <c r="A62" s="3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1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11"/>
      <c r="AK62" s="65" t="s">
        <v>64</v>
      </c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40"/>
      <c r="BD62" s="47"/>
    </row>
    <row r="63" spans="1:56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65" t="s">
        <v>65</v>
      </c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41"/>
      <c r="BD63" s="47"/>
    </row>
    <row r="64" spans="1:56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2" t="s">
        <v>62</v>
      </c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89" t="s">
        <v>68</v>
      </c>
      <c r="C67" s="89"/>
      <c r="D67" s="89"/>
      <c r="E67" s="89"/>
      <c r="F67" s="89"/>
      <c r="G67" s="8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1">
    <mergeCell ref="B60:Q60"/>
    <mergeCell ref="S60:AI60"/>
    <mergeCell ref="B61:Q62"/>
    <mergeCell ref="S61:AI62"/>
    <mergeCell ref="F54:H55"/>
    <mergeCell ref="I54:AE55"/>
    <mergeCell ref="B67:G67"/>
    <mergeCell ref="AP67:BB67"/>
    <mergeCell ref="AK61:BB61"/>
    <mergeCell ref="AK62:BB62"/>
    <mergeCell ref="AK63:BB63"/>
    <mergeCell ref="S64:AA65"/>
    <mergeCell ref="AB64:AI65"/>
    <mergeCell ref="AO51:AV51"/>
    <mergeCell ref="AX51:BB51"/>
    <mergeCell ref="B51:E51"/>
    <mergeCell ref="F51:H51"/>
    <mergeCell ref="I51:AE51"/>
    <mergeCell ref="AG51:AN51"/>
    <mergeCell ref="AN54:AV55"/>
    <mergeCell ref="AX54:BB55"/>
    <mergeCell ref="B58:AE59"/>
    <mergeCell ref="B50:E50"/>
    <mergeCell ref="F50:H50"/>
    <mergeCell ref="AO48:AV48"/>
    <mergeCell ref="AX48:BB48"/>
    <mergeCell ref="B47:E47"/>
    <mergeCell ref="F47:H47"/>
    <mergeCell ref="B48:E48"/>
    <mergeCell ref="F48:H48"/>
    <mergeCell ref="I48:AE48"/>
    <mergeCell ref="AG48:AN48"/>
    <mergeCell ref="I50:AE50"/>
    <mergeCell ref="AG50:AN50"/>
    <mergeCell ref="AO50:AV50"/>
    <mergeCell ref="AX50:BB50"/>
    <mergeCell ref="B49:E49"/>
    <mergeCell ref="F49:H49"/>
    <mergeCell ref="I49:AE49"/>
    <mergeCell ref="AG49:AN49"/>
    <mergeCell ref="AO49:AV49"/>
    <mergeCell ref="AX49:BB49"/>
    <mergeCell ref="I47:AE47"/>
    <mergeCell ref="AG47:AN47"/>
    <mergeCell ref="AO44:AV44"/>
    <mergeCell ref="AX44:BB44"/>
    <mergeCell ref="AO46:AV46"/>
    <mergeCell ref="AX46:BB46"/>
    <mergeCell ref="AO47:AV47"/>
    <mergeCell ref="AX47:BB47"/>
    <mergeCell ref="I45:AE45"/>
    <mergeCell ref="AG45:AN45"/>
    <mergeCell ref="B46:E46"/>
    <mergeCell ref="F46:H46"/>
    <mergeCell ref="I46:AE46"/>
    <mergeCell ref="AG46:AN46"/>
    <mergeCell ref="B44:E44"/>
    <mergeCell ref="F44:H44"/>
    <mergeCell ref="I44:AE44"/>
    <mergeCell ref="AG44:AN44"/>
    <mergeCell ref="B45:E45"/>
    <mergeCell ref="F45:H45"/>
    <mergeCell ref="AX40:BB40"/>
    <mergeCell ref="AO41:AV41"/>
    <mergeCell ref="AX41:BB41"/>
    <mergeCell ref="AO42:AV42"/>
    <mergeCell ref="AX42:BB42"/>
    <mergeCell ref="AO43:AV43"/>
    <mergeCell ref="AX43:BB43"/>
    <mergeCell ref="B42:E42"/>
    <mergeCell ref="F42:H42"/>
    <mergeCell ref="B43:E43"/>
    <mergeCell ref="F43:H43"/>
    <mergeCell ref="I43:AE43"/>
    <mergeCell ref="AG43:AN43"/>
    <mergeCell ref="I42:AE42"/>
    <mergeCell ref="AG42:AN42"/>
    <mergeCell ref="B41:E41"/>
    <mergeCell ref="F41:H41"/>
    <mergeCell ref="I41:AE41"/>
    <mergeCell ref="AG41:AN41"/>
    <mergeCell ref="B40:E40"/>
    <mergeCell ref="F40:H40"/>
    <mergeCell ref="I40:AE40"/>
    <mergeCell ref="AG40:AN40"/>
    <mergeCell ref="AO40:AV40"/>
    <mergeCell ref="AO38:AV38"/>
    <mergeCell ref="AX38:BB38"/>
    <mergeCell ref="AO37:AV37"/>
    <mergeCell ref="AX37:BB37"/>
    <mergeCell ref="B37:E37"/>
    <mergeCell ref="F37:H37"/>
    <mergeCell ref="I37:AE37"/>
    <mergeCell ref="AG37:AN37"/>
    <mergeCell ref="AO39:AV39"/>
    <mergeCell ref="AX39:BB39"/>
    <mergeCell ref="B38:E38"/>
    <mergeCell ref="F38:H38"/>
    <mergeCell ref="B39:E39"/>
    <mergeCell ref="F39:H39"/>
    <mergeCell ref="I39:AE39"/>
    <mergeCell ref="AG39:AN39"/>
    <mergeCell ref="I38:AE38"/>
    <mergeCell ref="AG38:AN38"/>
    <mergeCell ref="AX33:BB33"/>
    <mergeCell ref="AO34:AV34"/>
    <mergeCell ref="AX34:BB34"/>
    <mergeCell ref="AO35:AV35"/>
    <mergeCell ref="AX35:BB35"/>
    <mergeCell ref="AO36:AV36"/>
    <mergeCell ref="AX36:BB36"/>
    <mergeCell ref="B35:E35"/>
    <mergeCell ref="F35:H35"/>
    <mergeCell ref="B36:E36"/>
    <mergeCell ref="F36:H36"/>
    <mergeCell ref="I36:AE36"/>
    <mergeCell ref="AG36:AN36"/>
    <mergeCell ref="I35:AE35"/>
    <mergeCell ref="AG35:AN35"/>
    <mergeCell ref="B34:E34"/>
    <mergeCell ref="F34:H34"/>
    <mergeCell ref="I34:AE34"/>
    <mergeCell ref="AG34:AN34"/>
    <mergeCell ref="B33:E33"/>
    <mergeCell ref="F33:H33"/>
    <mergeCell ref="I33:AE33"/>
    <mergeCell ref="AG33:AN33"/>
    <mergeCell ref="AO33:AV33"/>
    <mergeCell ref="AO31:AV31"/>
    <mergeCell ref="AX31:BB31"/>
    <mergeCell ref="AO32:AV32"/>
    <mergeCell ref="AX32:BB32"/>
    <mergeCell ref="B31:E31"/>
    <mergeCell ref="F31:H31"/>
    <mergeCell ref="B32:E32"/>
    <mergeCell ref="F32:H32"/>
    <mergeCell ref="I32:AE32"/>
    <mergeCell ref="AG32:AN32"/>
    <mergeCell ref="I31:AE31"/>
    <mergeCell ref="AG31:AN31"/>
    <mergeCell ref="AG30:AN30"/>
    <mergeCell ref="B28:E28"/>
    <mergeCell ref="F28:H28"/>
    <mergeCell ref="I28:AE28"/>
    <mergeCell ref="AG28:AN28"/>
    <mergeCell ref="AO28:AV28"/>
    <mergeCell ref="AX28:BB28"/>
    <mergeCell ref="AO30:AV30"/>
    <mergeCell ref="AX30:BB30"/>
    <mergeCell ref="C2:L11"/>
    <mergeCell ref="M3:AT5"/>
    <mergeCell ref="AS16:AX17"/>
    <mergeCell ref="AY16:BB17"/>
    <mergeCell ref="M6:AT8"/>
    <mergeCell ref="AN10:AX11"/>
    <mergeCell ref="AY10:BB11"/>
    <mergeCell ref="B13:H14"/>
    <mergeCell ref="J13:K14"/>
    <mergeCell ref="L13:M14"/>
    <mergeCell ref="B16:K17"/>
    <mergeCell ref="L16:N17"/>
    <mergeCell ref="P16:Z17"/>
    <mergeCell ref="AB16:AQ17"/>
    <mergeCell ref="P13:S14"/>
    <mergeCell ref="U13:AK14"/>
    <mergeCell ref="AN13:AX14"/>
    <mergeCell ref="AY13:BB14"/>
    <mergeCell ref="B27:E27"/>
    <mergeCell ref="F27:H27"/>
    <mergeCell ref="I27:AE27"/>
    <mergeCell ref="AG27:AN27"/>
    <mergeCell ref="AO27:AV27"/>
    <mergeCell ref="AX27:BB27"/>
    <mergeCell ref="B19:K20"/>
    <mergeCell ref="M19:BB20"/>
    <mergeCell ref="B24:E24"/>
    <mergeCell ref="F24:H24"/>
    <mergeCell ref="I24:AE24"/>
    <mergeCell ref="AG24:AN24"/>
    <mergeCell ref="B22:E23"/>
    <mergeCell ref="F22:H23"/>
    <mergeCell ref="I22:AE23"/>
    <mergeCell ref="AG22:AN23"/>
    <mergeCell ref="AO22:AV23"/>
    <mergeCell ref="AX22:BB23"/>
    <mergeCell ref="AO24:AV24"/>
    <mergeCell ref="AX24:BB24"/>
    <mergeCell ref="BD22:BD23"/>
    <mergeCell ref="AO45:AV45"/>
    <mergeCell ref="AX45:BB45"/>
    <mergeCell ref="B29:E29"/>
    <mergeCell ref="F29:H29"/>
    <mergeCell ref="I29:AE29"/>
    <mergeCell ref="AG29:AN29"/>
    <mergeCell ref="AO29:AV29"/>
    <mergeCell ref="AX29:BB29"/>
    <mergeCell ref="B30:E30"/>
    <mergeCell ref="F30:H30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I30:AE30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68"/>
  <sheetViews>
    <sheetView topLeftCell="A16" zoomScale="150" workbookViewId="0">
      <selection activeCell="I31" sqref="I31:AE31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56" width="9" style="48"/>
    <col min="57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85"/>
      <c r="D2" s="85"/>
      <c r="E2" s="85"/>
      <c r="F2" s="85"/>
      <c r="G2" s="85"/>
      <c r="H2" s="85"/>
      <c r="I2" s="85"/>
      <c r="J2" s="85"/>
      <c r="K2" s="85"/>
      <c r="L2" s="85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85"/>
      <c r="D3" s="85"/>
      <c r="E3" s="85"/>
      <c r="F3" s="85"/>
      <c r="G3" s="85"/>
      <c r="H3" s="85"/>
      <c r="I3" s="85"/>
      <c r="J3" s="85"/>
      <c r="K3" s="85"/>
      <c r="L3" s="85"/>
      <c r="M3" s="83" t="s">
        <v>0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85"/>
      <c r="D4" s="85"/>
      <c r="E4" s="85"/>
      <c r="F4" s="85"/>
      <c r="G4" s="85"/>
      <c r="H4" s="85"/>
      <c r="I4" s="85"/>
      <c r="J4" s="85"/>
      <c r="K4" s="85"/>
      <c r="L4" s="85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85"/>
      <c r="D5" s="85"/>
      <c r="E5" s="85"/>
      <c r="F5" s="85"/>
      <c r="G5" s="85"/>
      <c r="H5" s="85"/>
      <c r="I5" s="85"/>
      <c r="J5" s="85"/>
      <c r="K5" s="85"/>
      <c r="L5" s="85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85"/>
      <c r="D6" s="85"/>
      <c r="E6" s="85"/>
      <c r="F6" s="85"/>
      <c r="G6" s="85"/>
      <c r="H6" s="85"/>
      <c r="I6" s="85"/>
      <c r="J6" s="85"/>
      <c r="K6" s="85"/>
      <c r="L6" s="85"/>
      <c r="M6" s="83" t="s">
        <v>75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85"/>
      <c r="D7" s="85"/>
      <c r="E7" s="85"/>
      <c r="F7" s="85"/>
      <c r="G7" s="85"/>
      <c r="H7" s="85"/>
      <c r="I7" s="85"/>
      <c r="J7" s="85"/>
      <c r="K7" s="85"/>
      <c r="L7" s="85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85"/>
      <c r="D8" s="85"/>
      <c r="E8" s="85"/>
      <c r="F8" s="85"/>
      <c r="G8" s="85"/>
      <c r="H8" s="85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85"/>
      <c r="D9" s="85"/>
      <c r="E9" s="85"/>
      <c r="F9" s="85"/>
      <c r="G9" s="85"/>
      <c r="H9" s="85"/>
      <c r="I9" s="85"/>
      <c r="J9" s="85"/>
      <c r="K9" s="85"/>
      <c r="L9" s="85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49" t="s">
        <v>49</v>
      </c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 t="s">
        <v>4</v>
      </c>
      <c r="AZ10" s="49"/>
      <c r="BA10" s="49"/>
      <c r="BB10" s="49"/>
      <c r="BC10" s="22"/>
    </row>
    <row r="11" spans="1:55" ht="6.95" customHeight="1">
      <c r="A11" s="19"/>
      <c r="B11" s="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58"/>
      <c r="AZ11" s="58"/>
      <c r="BA11" s="58"/>
      <c r="BB11" s="58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6" t="s">
        <v>7</v>
      </c>
      <c r="C13" s="56"/>
      <c r="D13" s="56"/>
      <c r="E13" s="56"/>
      <c r="F13" s="56"/>
      <c r="G13" s="56"/>
      <c r="H13" s="56"/>
      <c r="I13" s="5"/>
      <c r="J13" s="59">
        <v>0</v>
      </c>
      <c r="K13" s="59"/>
      <c r="L13" s="56">
        <v>7</v>
      </c>
      <c r="M13" s="56"/>
      <c r="N13" s="5"/>
      <c r="O13" s="5"/>
      <c r="P13" s="49" t="s">
        <v>8</v>
      </c>
      <c r="Q13" s="49"/>
      <c r="R13" s="49"/>
      <c r="S13" s="49"/>
      <c r="T13" s="5"/>
      <c r="U13" s="56" t="s">
        <v>9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"/>
      <c r="AM13" s="5"/>
      <c r="AN13" s="49" t="s">
        <v>50</v>
      </c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>
        <v>2</v>
      </c>
      <c r="AZ13" s="49"/>
      <c r="BA13" s="49"/>
      <c r="BB13" s="49"/>
      <c r="BC13" s="23"/>
    </row>
    <row r="14" spans="1:55" ht="6.95" customHeight="1">
      <c r="A14" s="19"/>
      <c r="B14" s="56"/>
      <c r="C14" s="56"/>
      <c r="D14" s="56"/>
      <c r="E14" s="56"/>
      <c r="F14" s="56"/>
      <c r="G14" s="56"/>
      <c r="H14" s="56"/>
      <c r="I14" s="15"/>
      <c r="J14" s="60"/>
      <c r="K14" s="60"/>
      <c r="L14" s="57"/>
      <c r="M14" s="57"/>
      <c r="N14" s="15"/>
      <c r="O14" s="5"/>
      <c r="P14" s="49"/>
      <c r="Q14" s="49"/>
      <c r="R14" s="49"/>
      <c r="S14" s="49"/>
      <c r="T14" s="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"/>
      <c r="AM14" s="5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58"/>
      <c r="AZ14" s="58"/>
      <c r="BA14" s="58"/>
      <c r="BB14" s="58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6" t="s">
        <v>52</v>
      </c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5"/>
      <c r="P16" s="49" t="s">
        <v>11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"/>
      <c r="AS16" s="49" t="s">
        <v>12</v>
      </c>
      <c r="AT16" s="49"/>
      <c r="AU16" s="49"/>
      <c r="AV16" s="49"/>
      <c r="AW16" s="49"/>
      <c r="AX16" s="49"/>
      <c r="AY16" s="49"/>
      <c r="AZ16" s="49"/>
      <c r="BA16" s="49"/>
      <c r="BB16" s="49"/>
      <c r="BC16" s="22"/>
    </row>
    <row r="17" spans="1:56" ht="6.95" customHeight="1">
      <c r="A17" s="1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8"/>
      <c r="M17" s="58"/>
      <c r="N17" s="58"/>
      <c r="O17" s="5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"/>
      <c r="AS17" s="49"/>
      <c r="AT17" s="49"/>
      <c r="AU17" s="49"/>
      <c r="AV17" s="49"/>
      <c r="AW17" s="49"/>
      <c r="AX17" s="49"/>
      <c r="AY17" s="58"/>
      <c r="AZ17" s="58"/>
      <c r="BA17" s="58"/>
      <c r="BB17" s="58"/>
      <c r="BC17" s="22"/>
    </row>
    <row r="18" spans="1:56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6" ht="6.95" customHeight="1">
      <c r="A19" s="19"/>
      <c r="B19" s="56" t="s">
        <v>51</v>
      </c>
      <c r="C19" s="56"/>
      <c r="D19" s="56"/>
      <c r="E19" s="56"/>
      <c r="F19" s="56"/>
      <c r="G19" s="56"/>
      <c r="H19" s="56"/>
      <c r="I19" s="56"/>
      <c r="J19" s="56"/>
      <c r="K19" s="56"/>
      <c r="L19" s="3"/>
      <c r="M19" s="86" t="s">
        <v>85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22"/>
    </row>
    <row r="20" spans="1:56" ht="6.95" customHeight="1">
      <c r="A20" s="1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30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22"/>
    </row>
    <row r="21" spans="1:56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6" ht="9.75" customHeight="1">
      <c r="A22" s="19"/>
      <c r="B22" s="84" t="s">
        <v>53</v>
      </c>
      <c r="C22" s="62"/>
      <c r="D22" s="62"/>
      <c r="E22" s="62"/>
      <c r="F22" s="84" t="s">
        <v>54</v>
      </c>
      <c r="G22" s="62"/>
      <c r="H22" s="62"/>
      <c r="I22" s="62" t="s">
        <v>55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31"/>
      <c r="AG22" s="76" t="s">
        <v>56</v>
      </c>
      <c r="AH22" s="77"/>
      <c r="AI22" s="77"/>
      <c r="AJ22" s="77"/>
      <c r="AK22" s="77"/>
      <c r="AL22" s="77"/>
      <c r="AM22" s="77"/>
      <c r="AN22" s="77"/>
      <c r="AO22" s="76" t="s">
        <v>57</v>
      </c>
      <c r="AP22" s="77"/>
      <c r="AQ22" s="77"/>
      <c r="AR22" s="77"/>
      <c r="AS22" s="77"/>
      <c r="AT22" s="77"/>
      <c r="AU22" s="77"/>
      <c r="AV22" s="77"/>
      <c r="AW22" s="32"/>
      <c r="AX22" s="76" t="s">
        <v>58</v>
      </c>
      <c r="AY22" s="77"/>
      <c r="AZ22" s="77"/>
      <c r="BA22" s="77"/>
      <c r="BB22" s="77"/>
      <c r="BC22" s="24"/>
      <c r="BD22" s="75" t="s">
        <v>72</v>
      </c>
    </row>
    <row r="23" spans="1:56" ht="9.75" customHeight="1">
      <c r="A23" s="19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11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32"/>
      <c r="AX23" s="77"/>
      <c r="AY23" s="77"/>
      <c r="AZ23" s="77"/>
      <c r="BA23" s="77"/>
      <c r="BB23" s="77"/>
      <c r="BC23" s="22"/>
      <c r="BD23" s="75"/>
    </row>
    <row r="24" spans="1:56" ht="12.75" customHeight="1">
      <c r="A24" s="19"/>
      <c r="B24" s="82">
        <v>1</v>
      </c>
      <c r="C24" s="82"/>
      <c r="D24" s="82"/>
      <c r="E24" s="82"/>
      <c r="F24" s="54">
        <v>0.4</v>
      </c>
      <c r="G24" s="54"/>
      <c r="H24" s="54"/>
      <c r="I24" s="78" t="s">
        <v>147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12"/>
      <c r="AG24" s="78" t="s">
        <v>70</v>
      </c>
      <c r="AH24" s="78"/>
      <c r="AI24" s="78"/>
      <c r="AJ24" s="78"/>
      <c r="AK24" s="78"/>
      <c r="AL24" s="78"/>
      <c r="AM24" s="78"/>
      <c r="AN24" s="78"/>
      <c r="AO24" s="54"/>
      <c r="AP24" s="54"/>
      <c r="AQ24" s="54"/>
      <c r="AR24" s="54"/>
      <c r="AS24" s="54"/>
      <c r="AT24" s="54"/>
      <c r="AU24" s="54"/>
      <c r="AV24" s="54"/>
      <c r="AW24" s="12"/>
      <c r="AX24" s="54">
        <f>SUM(F24*BD24)</f>
        <v>0</v>
      </c>
      <c r="AY24" s="54"/>
      <c r="AZ24" s="54"/>
      <c r="BA24" s="54"/>
      <c r="BB24" s="54"/>
      <c r="BC24" s="25"/>
      <c r="BD24" s="48">
        <v>0</v>
      </c>
    </row>
    <row r="25" spans="1:56" ht="12.75" customHeight="1">
      <c r="A25" s="19"/>
      <c r="B25" s="82">
        <v>2</v>
      </c>
      <c r="C25" s="82"/>
      <c r="D25" s="82"/>
      <c r="E25" s="82"/>
      <c r="F25" s="54">
        <v>0.4</v>
      </c>
      <c r="G25" s="54"/>
      <c r="H25" s="54"/>
      <c r="I25" s="78" t="s">
        <v>148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12"/>
      <c r="AG25" s="78" t="s">
        <v>70</v>
      </c>
      <c r="AH25" s="78"/>
      <c r="AI25" s="78"/>
      <c r="AJ25" s="78"/>
      <c r="AK25" s="78"/>
      <c r="AL25" s="78"/>
      <c r="AM25" s="78"/>
      <c r="AN25" s="78"/>
      <c r="AO25" s="54"/>
      <c r="AP25" s="54"/>
      <c r="AQ25" s="54"/>
      <c r="AR25" s="54"/>
      <c r="AS25" s="54"/>
      <c r="AT25" s="54"/>
      <c r="AU25" s="54"/>
      <c r="AV25" s="54"/>
      <c r="AW25" s="12"/>
      <c r="AX25" s="54">
        <f t="shared" ref="AX25:AX29" si="0">SUM(F25*BD25)</f>
        <v>0</v>
      </c>
      <c r="AY25" s="54"/>
      <c r="AZ25" s="54"/>
      <c r="BA25" s="54"/>
      <c r="BB25" s="54"/>
      <c r="BC25" s="25"/>
      <c r="BD25" s="48">
        <v>0</v>
      </c>
    </row>
    <row r="26" spans="1:56" ht="12.75" customHeight="1">
      <c r="A26" s="19"/>
      <c r="B26" s="82">
        <v>3</v>
      </c>
      <c r="C26" s="82"/>
      <c r="D26" s="82"/>
      <c r="E26" s="82"/>
      <c r="F26" s="54">
        <v>0.4</v>
      </c>
      <c r="G26" s="54"/>
      <c r="H26" s="54"/>
      <c r="I26" s="78" t="s">
        <v>143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12"/>
      <c r="AG26" s="78" t="s">
        <v>70</v>
      </c>
      <c r="AH26" s="78"/>
      <c r="AI26" s="78"/>
      <c r="AJ26" s="78"/>
      <c r="AK26" s="78"/>
      <c r="AL26" s="78"/>
      <c r="AM26" s="78"/>
      <c r="AN26" s="78"/>
      <c r="AO26" s="54"/>
      <c r="AP26" s="54"/>
      <c r="AQ26" s="54"/>
      <c r="AR26" s="54"/>
      <c r="AS26" s="54"/>
      <c r="AT26" s="54"/>
      <c r="AU26" s="54"/>
      <c r="AV26" s="54"/>
      <c r="AW26" s="12"/>
      <c r="AX26" s="54">
        <f t="shared" si="0"/>
        <v>0</v>
      </c>
      <c r="AY26" s="54"/>
      <c r="AZ26" s="54"/>
      <c r="BA26" s="54"/>
      <c r="BB26" s="54"/>
      <c r="BC26" s="25"/>
      <c r="BD26" s="48">
        <v>0</v>
      </c>
    </row>
    <row r="27" spans="1:56" ht="12.75" customHeight="1">
      <c r="A27" s="19"/>
      <c r="B27" s="82">
        <v>4</v>
      </c>
      <c r="C27" s="82"/>
      <c r="D27" s="82"/>
      <c r="E27" s="82"/>
      <c r="F27" s="54">
        <v>0.4</v>
      </c>
      <c r="G27" s="54"/>
      <c r="H27" s="54"/>
      <c r="I27" s="78" t="s">
        <v>154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12"/>
      <c r="AG27" s="78" t="s">
        <v>70</v>
      </c>
      <c r="AH27" s="78"/>
      <c r="AI27" s="78"/>
      <c r="AJ27" s="78"/>
      <c r="AK27" s="78"/>
      <c r="AL27" s="78"/>
      <c r="AM27" s="78"/>
      <c r="AN27" s="78"/>
      <c r="AO27" s="54"/>
      <c r="AP27" s="54"/>
      <c r="AQ27" s="54"/>
      <c r="AR27" s="54"/>
      <c r="AS27" s="54"/>
      <c r="AT27" s="54"/>
      <c r="AU27" s="54"/>
      <c r="AV27" s="54"/>
      <c r="AW27" s="12"/>
      <c r="AX27" s="54">
        <f t="shared" si="0"/>
        <v>0</v>
      </c>
      <c r="AY27" s="54"/>
      <c r="AZ27" s="54"/>
      <c r="BA27" s="54"/>
      <c r="BB27" s="54"/>
      <c r="BC27" s="25"/>
      <c r="BD27" s="48">
        <v>0</v>
      </c>
    </row>
    <row r="28" spans="1:56" ht="12.75" customHeight="1">
      <c r="A28" s="19"/>
      <c r="B28" s="82">
        <v>5</v>
      </c>
      <c r="C28" s="82"/>
      <c r="D28" s="82"/>
      <c r="E28" s="82"/>
      <c r="F28" s="54">
        <v>0.5</v>
      </c>
      <c r="G28" s="54"/>
      <c r="H28" s="54"/>
      <c r="I28" s="78" t="s">
        <v>153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12"/>
      <c r="AG28" s="78" t="s">
        <v>70</v>
      </c>
      <c r="AH28" s="78"/>
      <c r="AI28" s="78"/>
      <c r="AJ28" s="78"/>
      <c r="AK28" s="78"/>
      <c r="AL28" s="78"/>
      <c r="AM28" s="78"/>
      <c r="AN28" s="78"/>
      <c r="AO28" s="54"/>
      <c r="AP28" s="54"/>
      <c r="AQ28" s="54"/>
      <c r="AR28" s="54"/>
      <c r="AS28" s="54"/>
      <c r="AT28" s="54"/>
      <c r="AU28" s="54"/>
      <c r="AV28" s="54"/>
      <c r="AW28" s="12"/>
      <c r="AX28" s="54">
        <f t="shared" si="0"/>
        <v>0</v>
      </c>
      <c r="AY28" s="54"/>
      <c r="AZ28" s="54"/>
      <c r="BA28" s="54"/>
      <c r="BB28" s="54"/>
      <c r="BC28" s="25"/>
      <c r="BD28" s="48">
        <v>0</v>
      </c>
    </row>
    <row r="29" spans="1:56" ht="12.75" customHeight="1">
      <c r="A29" s="19"/>
      <c r="B29" s="82">
        <v>6</v>
      </c>
      <c r="C29" s="82"/>
      <c r="D29" s="82"/>
      <c r="E29" s="82"/>
      <c r="F29" s="54">
        <v>0.5</v>
      </c>
      <c r="G29" s="54"/>
      <c r="H29" s="54"/>
      <c r="I29" s="78" t="s">
        <v>147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12"/>
      <c r="AG29" s="78" t="s">
        <v>70</v>
      </c>
      <c r="AH29" s="78"/>
      <c r="AI29" s="78"/>
      <c r="AJ29" s="78"/>
      <c r="AK29" s="78"/>
      <c r="AL29" s="78"/>
      <c r="AM29" s="78"/>
      <c r="AN29" s="78"/>
      <c r="AO29" s="54"/>
      <c r="AP29" s="54"/>
      <c r="AQ29" s="54"/>
      <c r="AR29" s="54"/>
      <c r="AS29" s="54"/>
      <c r="AT29" s="54"/>
      <c r="AU29" s="54"/>
      <c r="AV29" s="54"/>
      <c r="AW29" s="12"/>
      <c r="AX29" s="54">
        <f t="shared" si="0"/>
        <v>0</v>
      </c>
      <c r="AY29" s="54"/>
      <c r="AZ29" s="54"/>
      <c r="BA29" s="54"/>
      <c r="BB29" s="54"/>
      <c r="BC29" s="25"/>
      <c r="BD29" s="48">
        <v>0</v>
      </c>
    </row>
    <row r="30" spans="1:56" ht="12.75" customHeight="1">
      <c r="A30" s="19"/>
      <c r="B30" s="82">
        <v>7</v>
      </c>
      <c r="C30" s="82"/>
      <c r="D30" s="82"/>
      <c r="E30" s="82"/>
      <c r="F30" s="54">
        <v>0.4</v>
      </c>
      <c r="G30" s="54"/>
      <c r="H30" s="54"/>
      <c r="I30" s="78" t="s">
        <v>163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12"/>
      <c r="AG30" s="78" t="s">
        <v>74</v>
      </c>
      <c r="AH30" s="78"/>
      <c r="AI30" s="78"/>
      <c r="AJ30" s="78"/>
      <c r="AK30" s="78"/>
      <c r="AL30" s="78"/>
      <c r="AM30" s="78"/>
      <c r="AN30" s="78"/>
      <c r="AO30" s="54"/>
      <c r="AP30" s="54"/>
      <c r="AQ30" s="54"/>
      <c r="AR30" s="54"/>
      <c r="AS30" s="54"/>
      <c r="AT30" s="54"/>
      <c r="AU30" s="54"/>
      <c r="AV30" s="54"/>
      <c r="AW30" s="12"/>
      <c r="AX30" s="54">
        <f t="shared" ref="AX30" si="1">SUM(F30*BD30)</f>
        <v>0</v>
      </c>
      <c r="AY30" s="54"/>
      <c r="AZ30" s="54"/>
      <c r="BA30" s="54"/>
      <c r="BB30" s="54"/>
      <c r="BC30" s="25"/>
      <c r="BD30" s="48">
        <v>0</v>
      </c>
    </row>
    <row r="31" spans="1:56" ht="12.75" customHeight="1">
      <c r="A31" s="19"/>
      <c r="B31" s="82">
        <v>8</v>
      </c>
      <c r="C31" s="82"/>
      <c r="D31" s="82"/>
      <c r="E31" s="82"/>
      <c r="F31" s="54"/>
      <c r="G31" s="54"/>
      <c r="H31" s="54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12"/>
      <c r="AG31" s="78"/>
      <c r="AH31" s="78"/>
      <c r="AI31" s="78"/>
      <c r="AJ31" s="78"/>
      <c r="AK31" s="78"/>
      <c r="AL31" s="78"/>
      <c r="AM31" s="78"/>
      <c r="AN31" s="78"/>
      <c r="AO31" s="54"/>
      <c r="AP31" s="54"/>
      <c r="AQ31" s="54"/>
      <c r="AR31" s="54"/>
      <c r="AS31" s="54"/>
      <c r="AT31" s="54"/>
      <c r="AU31" s="54"/>
      <c r="AV31" s="54"/>
      <c r="AW31" s="12"/>
      <c r="AX31" s="54">
        <f t="shared" ref="AX31" si="2">SUM(F31*BD31)</f>
        <v>0</v>
      </c>
      <c r="AY31" s="54"/>
      <c r="AZ31" s="54"/>
      <c r="BA31" s="54"/>
      <c r="BB31" s="54"/>
      <c r="BC31" s="25"/>
      <c r="BD31" s="48">
        <v>0</v>
      </c>
    </row>
    <row r="32" spans="1:56" ht="12.75" customHeight="1">
      <c r="A32" s="19"/>
      <c r="B32" s="82">
        <v>9</v>
      </c>
      <c r="C32" s="82"/>
      <c r="D32" s="82"/>
      <c r="E32" s="82"/>
      <c r="F32" s="54"/>
      <c r="G32" s="54"/>
      <c r="H32" s="54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12"/>
      <c r="AG32" s="78"/>
      <c r="AH32" s="78"/>
      <c r="AI32" s="78"/>
      <c r="AJ32" s="78"/>
      <c r="AK32" s="78"/>
      <c r="AL32" s="78"/>
      <c r="AM32" s="78"/>
      <c r="AN32" s="78"/>
      <c r="AO32" s="54"/>
      <c r="AP32" s="54"/>
      <c r="AQ32" s="54"/>
      <c r="AR32" s="54"/>
      <c r="AS32" s="54"/>
      <c r="AT32" s="54"/>
      <c r="AU32" s="54"/>
      <c r="AV32" s="54"/>
      <c r="AW32" s="12"/>
      <c r="AX32" s="54"/>
      <c r="AY32" s="54"/>
      <c r="AZ32" s="54"/>
      <c r="BA32" s="54"/>
      <c r="BB32" s="54"/>
      <c r="BC32" s="25"/>
    </row>
    <row r="33" spans="1:55" ht="12.75" customHeight="1">
      <c r="A33" s="19"/>
      <c r="B33" s="82">
        <v>10</v>
      </c>
      <c r="C33" s="82"/>
      <c r="D33" s="82"/>
      <c r="E33" s="82"/>
      <c r="F33" s="54"/>
      <c r="G33" s="54"/>
      <c r="H33" s="54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12"/>
      <c r="AG33" s="78"/>
      <c r="AH33" s="78"/>
      <c r="AI33" s="78"/>
      <c r="AJ33" s="78"/>
      <c r="AK33" s="78"/>
      <c r="AL33" s="78"/>
      <c r="AM33" s="78"/>
      <c r="AN33" s="78"/>
      <c r="AO33" s="54"/>
      <c r="AP33" s="54"/>
      <c r="AQ33" s="54"/>
      <c r="AR33" s="54"/>
      <c r="AS33" s="54"/>
      <c r="AT33" s="54"/>
      <c r="AU33" s="54"/>
      <c r="AV33" s="54"/>
      <c r="AW33" s="12"/>
      <c r="AX33" s="54"/>
      <c r="AY33" s="54"/>
      <c r="AZ33" s="54"/>
      <c r="BA33" s="54"/>
      <c r="BB33" s="54"/>
      <c r="BC33" s="25"/>
    </row>
    <row r="34" spans="1:55" ht="12.75" customHeight="1">
      <c r="A34" s="19"/>
      <c r="B34" s="82">
        <v>11</v>
      </c>
      <c r="C34" s="82"/>
      <c r="D34" s="82"/>
      <c r="E34" s="82"/>
      <c r="F34" s="54"/>
      <c r="G34" s="54"/>
      <c r="H34" s="54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12"/>
      <c r="AG34" s="78"/>
      <c r="AH34" s="78"/>
      <c r="AI34" s="78"/>
      <c r="AJ34" s="78"/>
      <c r="AK34" s="78"/>
      <c r="AL34" s="78"/>
      <c r="AM34" s="78"/>
      <c r="AN34" s="78"/>
      <c r="AO34" s="54"/>
      <c r="AP34" s="54"/>
      <c r="AQ34" s="54"/>
      <c r="AR34" s="54"/>
      <c r="AS34" s="54"/>
      <c r="AT34" s="54"/>
      <c r="AU34" s="54"/>
      <c r="AV34" s="54"/>
      <c r="AW34" s="12"/>
      <c r="AX34" s="54"/>
      <c r="AY34" s="54"/>
      <c r="AZ34" s="54"/>
      <c r="BA34" s="54"/>
      <c r="BB34" s="54"/>
      <c r="BC34" s="25"/>
    </row>
    <row r="35" spans="1:55" ht="12.75" customHeight="1">
      <c r="A35" s="19"/>
      <c r="B35" s="82">
        <v>12</v>
      </c>
      <c r="C35" s="82"/>
      <c r="D35" s="82"/>
      <c r="E35" s="82"/>
      <c r="F35" s="54"/>
      <c r="G35" s="54"/>
      <c r="H35" s="54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12"/>
      <c r="AG35" s="78"/>
      <c r="AH35" s="78"/>
      <c r="AI35" s="78"/>
      <c r="AJ35" s="78"/>
      <c r="AK35" s="78"/>
      <c r="AL35" s="78"/>
      <c r="AM35" s="78"/>
      <c r="AN35" s="78"/>
      <c r="AO35" s="54"/>
      <c r="AP35" s="54"/>
      <c r="AQ35" s="54"/>
      <c r="AR35" s="54"/>
      <c r="AS35" s="54"/>
      <c r="AT35" s="54"/>
      <c r="AU35" s="54"/>
      <c r="AV35" s="54"/>
      <c r="AW35" s="12"/>
      <c r="AX35" s="54"/>
      <c r="AY35" s="54"/>
      <c r="AZ35" s="54"/>
      <c r="BA35" s="54"/>
      <c r="BB35" s="54"/>
      <c r="BC35" s="25"/>
    </row>
    <row r="36" spans="1:55" ht="12.75" customHeight="1">
      <c r="A36" s="19"/>
      <c r="B36" s="82">
        <v>13</v>
      </c>
      <c r="C36" s="82"/>
      <c r="D36" s="82"/>
      <c r="E36" s="82"/>
      <c r="F36" s="54"/>
      <c r="G36" s="54"/>
      <c r="H36" s="54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12"/>
      <c r="AG36" s="78"/>
      <c r="AH36" s="78"/>
      <c r="AI36" s="78"/>
      <c r="AJ36" s="78"/>
      <c r="AK36" s="78"/>
      <c r="AL36" s="78"/>
      <c r="AM36" s="78"/>
      <c r="AN36" s="78"/>
      <c r="AO36" s="54"/>
      <c r="AP36" s="54"/>
      <c r="AQ36" s="54"/>
      <c r="AR36" s="54"/>
      <c r="AS36" s="54"/>
      <c r="AT36" s="54"/>
      <c r="AU36" s="54"/>
      <c r="AV36" s="54"/>
      <c r="AW36" s="12"/>
      <c r="AX36" s="54"/>
      <c r="AY36" s="54"/>
      <c r="AZ36" s="54"/>
      <c r="BA36" s="54"/>
      <c r="BB36" s="54"/>
      <c r="BC36" s="25"/>
    </row>
    <row r="37" spans="1:55" ht="12.75" customHeight="1">
      <c r="A37" s="19"/>
      <c r="B37" s="82">
        <v>14</v>
      </c>
      <c r="C37" s="82"/>
      <c r="D37" s="82"/>
      <c r="E37" s="82"/>
      <c r="F37" s="54"/>
      <c r="G37" s="54"/>
      <c r="H37" s="54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12"/>
      <c r="AG37" s="78"/>
      <c r="AH37" s="78"/>
      <c r="AI37" s="78"/>
      <c r="AJ37" s="78"/>
      <c r="AK37" s="78"/>
      <c r="AL37" s="78"/>
      <c r="AM37" s="78"/>
      <c r="AN37" s="78"/>
      <c r="AO37" s="54"/>
      <c r="AP37" s="54"/>
      <c r="AQ37" s="54"/>
      <c r="AR37" s="54"/>
      <c r="AS37" s="54"/>
      <c r="AT37" s="54"/>
      <c r="AU37" s="54"/>
      <c r="AV37" s="54"/>
      <c r="AW37" s="12"/>
      <c r="AX37" s="54"/>
      <c r="AY37" s="54"/>
      <c r="AZ37" s="54"/>
      <c r="BA37" s="54"/>
      <c r="BB37" s="54"/>
      <c r="BC37" s="25"/>
    </row>
    <row r="38" spans="1:55" ht="12.75" customHeight="1">
      <c r="A38" s="19"/>
      <c r="B38" s="82">
        <v>15</v>
      </c>
      <c r="C38" s="82"/>
      <c r="D38" s="82"/>
      <c r="E38" s="82"/>
      <c r="F38" s="54"/>
      <c r="G38" s="54"/>
      <c r="H38" s="54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12"/>
      <c r="AG38" s="78"/>
      <c r="AH38" s="78"/>
      <c r="AI38" s="78"/>
      <c r="AJ38" s="78"/>
      <c r="AK38" s="78"/>
      <c r="AL38" s="78"/>
      <c r="AM38" s="78"/>
      <c r="AN38" s="78"/>
      <c r="AO38" s="54"/>
      <c r="AP38" s="54"/>
      <c r="AQ38" s="54"/>
      <c r="AR38" s="54"/>
      <c r="AS38" s="54"/>
      <c r="AT38" s="54"/>
      <c r="AU38" s="54"/>
      <c r="AV38" s="54"/>
      <c r="AW38" s="12"/>
      <c r="AX38" s="54"/>
      <c r="AY38" s="54"/>
      <c r="AZ38" s="54"/>
      <c r="BA38" s="54"/>
      <c r="BB38" s="54"/>
      <c r="BC38" s="25"/>
    </row>
    <row r="39" spans="1:55" ht="12.75" customHeight="1">
      <c r="A39" s="19"/>
      <c r="B39" s="82">
        <v>16</v>
      </c>
      <c r="C39" s="82"/>
      <c r="D39" s="82"/>
      <c r="E39" s="82"/>
      <c r="F39" s="54"/>
      <c r="G39" s="54"/>
      <c r="H39" s="54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12"/>
      <c r="AG39" s="78"/>
      <c r="AH39" s="78"/>
      <c r="AI39" s="78"/>
      <c r="AJ39" s="78"/>
      <c r="AK39" s="78"/>
      <c r="AL39" s="78"/>
      <c r="AM39" s="78"/>
      <c r="AN39" s="78"/>
      <c r="AO39" s="54"/>
      <c r="AP39" s="54"/>
      <c r="AQ39" s="54"/>
      <c r="AR39" s="54"/>
      <c r="AS39" s="54"/>
      <c r="AT39" s="54"/>
      <c r="AU39" s="54"/>
      <c r="AV39" s="54"/>
      <c r="AW39" s="12"/>
      <c r="AX39" s="54"/>
      <c r="AY39" s="54"/>
      <c r="AZ39" s="54"/>
      <c r="BA39" s="54"/>
      <c r="BB39" s="54"/>
      <c r="BC39" s="25"/>
    </row>
    <row r="40" spans="1:55" ht="12.75" customHeight="1">
      <c r="A40" s="19"/>
      <c r="B40" s="82">
        <v>17</v>
      </c>
      <c r="C40" s="82"/>
      <c r="D40" s="82"/>
      <c r="E40" s="82"/>
      <c r="F40" s="54"/>
      <c r="G40" s="54"/>
      <c r="H40" s="54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12"/>
      <c r="AG40" s="78"/>
      <c r="AH40" s="78"/>
      <c r="AI40" s="78"/>
      <c r="AJ40" s="78"/>
      <c r="AK40" s="78"/>
      <c r="AL40" s="78"/>
      <c r="AM40" s="78"/>
      <c r="AN40" s="78"/>
      <c r="AO40" s="54"/>
      <c r="AP40" s="54"/>
      <c r="AQ40" s="54"/>
      <c r="AR40" s="54"/>
      <c r="AS40" s="54"/>
      <c r="AT40" s="54"/>
      <c r="AU40" s="54"/>
      <c r="AV40" s="54"/>
      <c r="AW40" s="12"/>
      <c r="AX40" s="54"/>
      <c r="AY40" s="54"/>
      <c r="AZ40" s="54"/>
      <c r="BA40" s="54"/>
      <c r="BB40" s="54"/>
      <c r="BC40" s="25"/>
    </row>
    <row r="41" spans="1:55" ht="12.75" customHeight="1">
      <c r="A41" s="19"/>
      <c r="B41" s="82">
        <v>18</v>
      </c>
      <c r="C41" s="82"/>
      <c r="D41" s="82"/>
      <c r="E41" s="82"/>
      <c r="F41" s="54"/>
      <c r="G41" s="54"/>
      <c r="H41" s="54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12"/>
      <c r="AG41" s="78"/>
      <c r="AH41" s="78"/>
      <c r="AI41" s="78"/>
      <c r="AJ41" s="78"/>
      <c r="AK41" s="78"/>
      <c r="AL41" s="78"/>
      <c r="AM41" s="78"/>
      <c r="AN41" s="78"/>
      <c r="AO41" s="54"/>
      <c r="AP41" s="54"/>
      <c r="AQ41" s="54"/>
      <c r="AR41" s="54"/>
      <c r="AS41" s="54"/>
      <c r="AT41" s="54"/>
      <c r="AU41" s="54"/>
      <c r="AV41" s="54"/>
      <c r="AW41" s="12"/>
      <c r="AX41" s="54"/>
      <c r="AY41" s="54"/>
      <c r="AZ41" s="54"/>
      <c r="BA41" s="54"/>
      <c r="BB41" s="54"/>
      <c r="BC41" s="25"/>
    </row>
    <row r="42" spans="1:55" ht="12.75" customHeight="1">
      <c r="A42" s="19"/>
      <c r="B42" s="82">
        <v>19</v>
      </c>
      <c r="C42" s="82"/>
      <c r="D42" s="82"/>
      <c r="E42" s="82"/>
      <c r="F42" s="54"/>
      <c r="G42" s="54"/>
      <c r="H42" s="54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12"/>
      <c r="AG42" s="78"/>
      <c r="AH42" s="78"/>
      <c r="AI42" s="78"/>
      <c r="AJ42" s="78"/>
      <c r="AK42" s="78"/>
      <c r="AL42" s="78"/>
      <c r="AM42" s="78"/>
      <c r="AN42" s="78"/>
      <c r="AO42" s="54"/>
      <c r="AP42" s="54"/>
      <c r="AQ42" s="54"/>
      <c r="AR42" s="54"/>
      <c r="AS42" s="54"/>
      <c r="AT42" s="54"/>
      <c r="AU42" s="54"/>
      <c r="AV42" s="54"/>
      <c r="AW42" s="12"/>
      <c r="AX42" s="54"/>
      <c r="AY42" s="54"/>
      <c r="AZ42" s="54"/>
      <c r="BA42" s="54"/>
      <c r="BB42" s="54"/>
      <c r="BC42" s="25"/>
    </row>
    <row r="43" spans="1:55" ht="12.75" customHeight="1">
      <c r="A43" s="19"/>
      <c r="B43" s="82">
        <v>20</v>
      </c>
      <c r="C43" s="82"/>
      <c r="D43" s="82"/>
      <c r="E43" s="82"/>
      <c r="F43" s="54"/>
      <c r="G43" s="54"/>
      <c r="H43" s="54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12"/>
      <c r="AG43" s="78"/>
      <c r="AH43" s="78"/>
      <c r="AI43" s="78"/>
      <c r="AJ43" s="78"/>
      <c r="AK43" s="78"/>
      <c r="AL43" s="78"/>
      <c r="AM43" s="78"/>
      <c r="AN43" s="78"/>
      <c r="AO43" s="54"/>
      <c r="AP43" s="54"/>
      <c r="AQ43" s="54"/>
      <c r="AR43" s="54"/>
      <c r="AS43" s="54"/>
      <c r="AT43" s="54"/>
      <c r="AU43" s="54"/>
      <c r="AV43" s="54"/>
      <c r="AW43" s="12"/>
      <c r="AX43" s="54"/>
      <c r="AY43" s="54"/>
      <c r="AZ43" s="54"/>
      <c r="BA43" s="54"/>
      <c r="BB43" s="54"/>
      <c r="BC43" s="25"/>
    </row>
    <row r="44" spans="1:55" ht="12.75" customHeight="1">
      <c r="A44" s="19"/>
      <c r="B44" s="82">
        <v>21</v>
      </c>
      <c r="C44" s="82"/>
      <c r="D44" s="82"/>
      <c r="E44" s="82"/>
      <c r="F44" s="54"/>
      <c r="G44" s="54"/>
      <c r="H44" s="54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12"/>
      <c r="AG44" s="78"/>
      <c r="AH44" s="78"/>
      <c r="AI44" s="78"/>
      <c r="AJ44" s="78"/>
      <c r="AK44" s="78"/>
      <c r="AL44" s="78"/>
      <c r="AM44" s="78"/>
      <c r="AN44" s="78"/>
      <c r="AO44" s="54"/>
      <c r="AP44" s="54"/>
      <c r="AQ44" s="54"/>
      <c r="AR44" s="54"/>
      <c r="AS44" s="54"/>
      <c r="AT44" s="54"/>
      <c r="AU44" s="54"/>
      <c r="AV44" s="54"/>
      <c r="AW44" s="12"/>
      <c r="AX44" s="54"/>
      <c r="AY44" s="54"/>
      <c r="AZ44" s="54"/>
      <c r="BA44" s="54"/>
      <c r="BB44" s="54"/>
      <c r="BC44" s="25"/>
    </row>
    <row r="45" spans="1:55" ht="12.75" customHeight="1">
      <c r="A45" s="19"/>
      <c r="B45" s="82">
        <v>22</v>
      </c>
      <c r="C45" s="82"/>
      <c r="D45" s="82"/>
      <c r="E45" s="82"/>
      <c r="F45" s="54"/>
      <c r="G45" s="54"/>
      <c r="H45" s="54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12"/>
      <c r="AG45" s="78"/>
      <c r="AH45" s="78"/>
      <c r="AI45" s="78"/>
      <c r="AJ45" s="78"/>
      <c r="AK45" s="78"/>
      <c r="AL45" s="78"/>
      <c r="AM45" s="78"/>
      <c r="AN45" s="78"/>
      <c r="AO45" s="54"/>
      <c r="AP45" s="54"/>
      <c r="AQ45" s="54"/>
      <c r="AR45" s="54"/>
      <c r="AS45" s="54"/>
      <c r="AT45" s="54"/>
      <c r="AU45" s="54"/>
      <c r="AV45" s="54"/>
      <c r="AW45" s="12"/>
      <c r="AX45" s="54"/>
      <c r="AY45" s="54"/>
      <c r="AZ45" s="54"/>
      <c r="BA45" s="54"/>
      <c r="BB45" s="54"/>
      <c r="BC45" s="25"/>
    </row>
    <row r="46" spans="1:55" ht="12.75" customHeight="1">
      <c r="A46" s="19"/>
      <c r="B46" s="82">
        <v>23</v>
      </c>
      <c r="C46" s="82"/>
      <c r="D46" s="82"/>
      <c r="E46" s="82"/>
      <c r="F46" s="54"/>
      <c r="G46" s="54"/>
      <c r="H46" s="54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12"/>
      <c r="AG46" s="78"/>
      <c r="AH46" s="78"/>
      <c r="AI46" s="78"/>
      <c r="AJ46" s="78"/>
      <c r="AK46" s="78"/>
      <c r="AL46" s="78"/>
      <c r="AM46" s="78"/>
      <c r="AN46" s="78"/>
      <c r="AO46" s="54"/>
      <c r="AP46" s="54"/>
      <c r="AQ46" s="54"/>
      <c r="AR46" s="54"/>
      <c r="AS46" s="54"/>
      <c r="AT46" s="54"/>
      <c r="AU46" s="54"/>
      <c r="AV46" s="54"/>
      <c r="AW46" s="12"/>
      <c r="AX46" s="54"/>
      <c r="AY46" s="54"/>
      <c r="AZ46" s="54"/>
      <c r="BA46" s="54"/>
      <c r="BB46" s="54"/>
      <c r="BC46" s="25"/>
    </row>
    <row r="47" spans="1:55" ht="12.75" customHeight="1">
      <c r="A47" s="19"/>
      <c r="B47" s="82">
        <v>24</v>
      </c>
      <c r="C47" s="82"/>
      <c r="D47" s="82"/>
      <c r="E47" s="82"/>
      <c r="F47" s="54"/>
      <c r="G47" s="54"/>
      <c r="H47" s="54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12"/>
      <c r="AG47" s="78"/>
      <c r="AH47" s="78"/>
      <c r="AI47" s="78"/>
      <c r="AJ47" s="78"/>
      <c r="AK47" s="78"/>
      <c r="AL47" s="78"/>
      <c r="AM47" s="78"/>
      <c r="AN47" s="78"/>
      <c r="AO47" s="54"/>
      <c r="AP47" s="54"/>
      <c r="AQ47" s="54"/>
      <c r="AR47" s="54"/>
      <c r="AS47" s="54"/>
      <c r="AT47" s="54"/>
      <c r="AU47" s="54"/>
      <c r="AV47" s="54"/>
      <c r="AW47" s="12"/>
      <c r="AX47" s="54"/>
      <c r="AY47" s="54"/>
      <c r="AZ47" s="54"/>
      <c r="BA47" s="54"/>
      <c r="BB47" s="54"/>
      <c r="BC47" s="25"/>
    </row>
    <row r="48" spans="1:55" ht="12.75" customHeight="1">
      <c r="A48" s="19"/>
      <c r="B48" s="82">
        <v>25</v>
      </c>
      <c r="C48" s="82"/>
      <c r="D48" s="82"/>
      <c r="E48" s="82"/>
      <c r="F48" s="54"/>
      <c r="G48" s="54"/>
      <c r="H48" s="54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12"/>
      <c r="AG48" s="78"/>
      <c r="AH48" s="78"/>
      <c r="AI48" s="78"/>
      <c r="AJ48" s="78"/>
      <c r="AK48" s="78"/>
      <c r="AL48" s="78"/>
      <c r="AM48" s="78"/>
      <c r="AN48" s="78"/>
      <c r="AO48" s="54"/>
      <c r="AP48" s="54"/>
      <c r="AQ48" s="54"/>
      <c r="AR48" s="54"/>
      <c r="AS48" s="54"/>
      <c r="AT48" s="54"/>
      <c r="AU48" s="54"/>
      <c r="AV48" s="54"/>
      <c r="AW48" s="12"/>
      <c r="AX48" s="54"/>
      <c r="AY48" s="54"/>
      <c r="AZ48" s="54"/>
      <c r="BA48" s="54"/>
      <c r="BB48" s="54"/>
      <c r="BC48" s="25"/>
    </row>
    <row r="49" spans="1:56" ht="12.75" customHeight="1">
      <c r="A49" s="19"/>
      <c r="B49" s="82">
        <v>26</v>
      </c>
      <c r="C49" s="82"/>
      <c r="D49" s="82"/>
      <c r="E49" s="82"/>
      <c r="F49" s="54"/>
      <c r="G49" s="54"/>
      <c r="H49" s="54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12"/>
      <c r="AG49" s="78"/>
      <c r="AH49" s="78"/>
      <c r="AI49" s="78"/>
      <c r="AJ49" s="78"/>
      <c r="AK49" s="78"/>
      <c r="AL49" s="78"/>
      <c r="AM49" s="78"/>
      <c r="AN49" s="78"/>
      <c r="AO49" s="54"/>
      <c r="AP49" s="54"/>
      <c r="AQ49" s="54"/>
      <c r="AR49" s="54"/>
      <c r="AS49" s="54"/>
      <c r="AT49" s="54"/>
      <c r="AU49" s="54"/>
      <c r="AV49" s="54"/>
      <c r="AW49" s="12"/>
      <c r="AX49" s="54"/>
      <c r="AY49" s="54"/>
      <c r="AZ49" s="54"/>
      <c r="BA49" s="54"/>
      <c r="BB49" s="54"/>
      <c r="BC49" s="25"/>
    </row>
    <row r="50" spans="1:56" ht="12.75" customHeight="1">
      <c r="A50" s="19"/>
      <c r="B50" s="82">
        <v>27</v>
      </c>
      <c r="C50" s="82"/>
      <c r="D50" s="82"/>
      <c r="E50" s="82"/>
      <c r="F50" s="54"/>
      <c r="G50" s="54"/>
      <c r="H50" s="54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12"/>
      <c r="AG50" s="78"/>
      <c r="AH50" s="78"/>
      <c r="AI50" s="78"/>
      <c r="AJ50" s="78"/>
      <c r="AK50" s="78"/>
      <c r="AL50" s="78"/>
      <c r="AM50" s="78"/>
      <c r="AN50" s="78"/>
      <c r="AO50" s="54"/>
      <c r="AP50" s="54"/>
      <c r="AQ50" s="54"/>
      <c r="AR50" s="54"/>
      <c r="AS50" s="54"/>
      <c r="AT50" s="54"/>
      <c r="AU50" s="54"/>
      <c r="AV50" s="54"/>
      <c r="AW50" s="12"/>
      <c r="AX50" s="54"/>
      <c r="AY50" s="54"/>
      <c r="AZ50" s="54"/>
      <c r="BA50" s="54"/>
      <c r="BB50" s="54"/>
      <c r="BC50" s="25"/>
    </row>
    <row r="51" spans="1:56" ht="12.75" customHeight="1">
      <c r="A51" s="19"/>
      <c r="B51" s="82">
        <v>28</v>
      </c>
      <c r="C51" s="82"/>
      <c r="D51" s="82"/>
      <c r="E51" s="82"/>
      <c r="F51" s="54"/>
      <c r="G51" s="54"/>
      <c r="H51" s="54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12"/>
      <c r="AG51" s="78"/>
      <c r="AH51" s="78"/>
      <c r="AI51" s="78"/>
      <c r="AJ51" s="78"/>
      <c r="AK51" s="78"/>
      <c r="AL51" s="78"/>
      <c r="AM51" s="78"/>
      <c r="AN51" s="78"/>
      <c r="AO51" s="54"/>
      <c r="AP51" s="54"/>
      <c r="AQ51" s="54"/>
      <c r="AR51" s="54"/>
      <c r="AS51" s="54"/>
      <c r="AT51" s="54"/>
      <c r="AU51" s="54"/>
      <c r="AV51" s="54"/>
      <c r="AW51" s="12"/>
      <c r="AX51" s="54"/>
      <c r="AY51" s="54"/>
      <c r="AZ51" s="54"/>
      <c r="BA51" s="54"/>
      <c r="BB51" s="54"/>
      <c r="BC51" s="25"/>
    </row>
    <row r="52" spans="1:56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6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6" s="35" customFormat="1" ht="8.1" customHeight="1">
      <c r="A54" s="34"/>
      <c r="B54" s="10"/>
      <c r="C54" s="10"/>
      <c r="D54" s="10"/>
      <c r="E54" s="10"/>
      <c r="F54" s="92">
        <f>SUM(F24:H51)</f>
        <v>3</v>
      </c>
      <c r="G54" s="92"/>
      <c r="H54" s="92"/>
      <c r="I54" s="91" t="s">
        <v>66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10"/>
      <c r="AG54" s="10"/>
      <c r="AH54" s="10"/>
      <c r="AI54" s="10"/>
      <c r="AJ54" s="10"/>
      <c r="AK54" s="10"/>
      <c r="AL54" s="10"/>
      <c r="AM54" s="10"/>
      <c r="AN54" s="50" t="s">
        <v>59</v>
      </c>
      <c r="AO54" s="50"/>
      <c r="AP54" s="50"/>
      <c r="AQ54" s="50"/>
      <c r="AR54" s="50"/>
      <c r="AS54" s="50"/>
      <c r="AT54" s="50"/>
      <c r="AU54" s="50"/>
      <c r="AV54" s="50"/>
      <c r="AW54" s="10"/>
      <c r="AX54" s="92">
        <f>SUM(AX24:BB51)</f>
        <v>0</v>
      </c>
      <c r="AY54" s="92"/>
      <c r="AZ54" s="92"/>
      <c r="BA54" s="92"/>
      <c r="BB54" s="92"/>
      <c r="BC54" s="36"/>
      <c r="BD54" s="47"/>
    </row>
    <row r="55" spans="1:56" s="35" customFormat="1" ht="8.1" customHeight="1">
      <c r="A55" s="34"/>
      <c r="B55" s="10"/>
      <c r="C55" s="10"/>
      <c r="D55" s="10"/>
      <c r="E55" s="10"/>
      <c r="F55" s="93"/>
      <c r="G55" s="93"/>
      <c r="H55" s="93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10"/>
      <c r="AG55" s="10"/>
      <c r="AH55" s="10"/>
      <c r="AI55" s="10"/>
      <c r="AJ55" s="10"/>
      <c r="AK55" s="10"/>
      <c r="AL55" s="10"/>
      <c r="AM55" s="10"/>
      <c r="AN55" s="50"/>
      <c r="AO55" s="50"/>
      <c r="AP55" s="50"/>
      <c r="AQ55" s="50"/>
      <c r="AR55" s="50"/>
      <c r="AS55" s="50"/>
      <c r="AT55" s="50"/>
      <c r="AU55" s="50"/>
      <c r="AV55" s="50"/>
      <c r="AW55" s="10"/>
      <c r="AX55" s="93"/>
      <c r="AY55" s="93"/>
      <c r="AZ55" s="93"/>
      <c r="BA55" s="93"/>
      <c r="BB55" s="93"/>
      <c r="BC55" s="38"/>
      <c r="BD55" s="47"/>
    </row>
    <row r="56" spans="1:56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47"/>
    </row>
    <row r="57" spans="1:56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47"/>
    </row>
    <row r="58" spans="1:56" s="35" customFormat="1" ht="8.1" customHeight="1">
      <c r="A58" s="34"/>
      <c r="B58" s="91" t="s">
        <v>60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47"/>
    </row>
    <row r="59" spans="1:56" s="35" customFormat="1" ht="8.1" customHeight="1">
      <c r="A59" s="3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47"/>
    </row>
    <row r="60" spans="1:56" s="35" customFormat="1" ht="11.25" customHeight="1">
      <c r="A60" s="34"/>
      <c r="B60" s="62" t="s">
        <v>61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11"/>
      <c r="S60" s="62" t="s">
        <v>24</v>
      </c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47"/>
    </row>
    <row r="61" spans="1:56" s="35" customFormat="1" ht="8.1" customHeight="1">
      <c r="A61" s="3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11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"/>
      <c r="AK61" s="65" t="s">
        <v>63</v>
      </c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41"/>
      <c r="BD61" s="47"/>
    </row>
    <row r="62" spans="1:56" s="35" customFormat="1" ht="8.1" customHeight="1">
      <c r="A62" s="3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1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11"/>
      <c r="AK62" s="65" t="s">
        <v>64</v>
      </c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40"/>
      <c r="BD62" s="47"/>
    </row>
    <row r="63" spans="1:56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65" t="s">
        <v>65</v>
      </c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41"/>
      <c r="BD63" s="47"/>
    </row>
    <row r="64" spans="1:56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2" t="s">
        <v>62</v>
      </c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89" t="s">
        <v>68</v>
      </c>
      <c r="C67" s="89"/>
      <c r="D67" s="89"/>
      <c r="E67" s="89"/>
      <c r="F67" s="89"/>
      <c r="G67" s="8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1">
    <mergeCell ref="B60:Q60"/>
    <mergeCell ref="S60:AI60"/>
    <mergeCell ref="B61:Q62"/>
    <mergeCell ref="S61:AI62"/>
    <mergeCell ref="F54:H55"/>
    <mergeCell ref="I54:AE55"/>
    <mergeCell ref="B67:G67"/>
    <mergeCell ref="AP67:BB67"/>
    <mergeCell ref="AK61:BB61"/>
    <mergeCell ref="AK62:BB62"/>
    <mergeCell ref="AK63:BB63"/>
    <mergeCell ref="S64:AA65"/>
    <mergeCell ref="AB64:AI65"/>
    <mergeCell ref="B51:E51"/>
    <mergeCell ref="F51:H51"/>
    <mergeCell ref="I51:AE51"/>
    <mergeCell ref="AG51:AN51"/>
    <mergeCell ref="AO51:AV51"/>
    <mergeCell ref="AX51:BB51"/>
    <mergeCell ref="AN54:AV55"/>
    <mergeCell ref="AX54:BB55"/>
    <mergeCell ref="B58:AE59"/>
    <mergeCell ref="AX47:BB47"/>
    <mergeCell ref="AO48:AV48"/>
    <mergeCell ref="AX48:BB48"/>
    <mergeCell ref="AO49:AV49"/>
    <mergeCell ref="AX49:BB49"/>
    <mergeCell ref="AO50:AV50"/>
    <mergeCell ref="AX50:BB50"/>
    <mergeCell ref="B49:E49"/>
    <mergeCell ref="F49:H49"/>
    <mergeCell ref="B50:E50"/>
    <mergeCell ref="F50:H50"/>
    <mergeCell ref="I50:AE50"/>
    <mergeCell ref="AG50:AN50"/>
    <mergeCell ref="I49:AE49"/>
    <mergeCell ref="AG49:AN49"/>
    <mergeCell ref="B48:E48"/>
    <mergeCell ref="F48:H48"/>
    <mergeCell ref="I48:AE48"/>
    <mergeCell ref="AG48:AN48"/>
    <mergeCell ref="B47:E47"/>
    <mergeCell ref="F47:H47"/>
    <mergeCell ref="I47:AE47"/>
    <mergeCell ref="AG47:AN47"/>
    <mergeCell ref="AO47:AV47"/>
    <mergeCell ref="AX43:BB43"/>
    <mergeCell ref="AO44:AV44"/>
    <mergeCell ref="AX44:BB44"/>
    <mergeCell ref="AO45:AV45"/>
    <mergeCell ref="AX45:BB45"/>
    <mergeCell ref="AO46:AV46"/>
    <mergeCell ref="AX46:BB46"/>
    <mergeCell ref="B45:E45"/>
    <mergeCell ref="F45:H45"/>
    <mergeCell ref="B46:E46"/>
    <mergeCell ref="F46:H46"/>
    <mergeCell ref="I46:AE46"/>
    <mergeCell ref="AG46:AN46"/>
    <mergeCell ref="I45:AE45"/>
    <mergeCell ref="AG45:AN45"/>
    <mergeCell ref="B44:E44"/>
    <mergeCell ref="F44:H44"/>
    <mergeCell ref="I44:AE44"/>
    <mergeCell ref="AG44:AN44"/>
    <mergeCell ref="B43:E43"/>
    <mergeCell ref="F43:H43"/>
    <mergeCell ref="I43:AE43"/>
    <mergeCell ref="AG43:AN43"/>
    <mergeCell ref="AO43:AV43"/>
    <mergeCell ref="AX39:BB39"/>
    <mergeCell ref="AO40:AV40"/>
    <mergeCell ref="AX40:BB40"/>
    <mergeCell ref="AO41:AV41"/>
    <mergeCell ref="AX41:BB41"/>
    <mergeCell ref="AO42:AV42"/>
    <mergeCell ref="AX42:BB42"/>
    <mergeCell ref="B41:E41"/>
    <mergeCell ref="F41:H41"/>
    <mergeCell ref="B42:E42"/>
    <mergeCell ref="F42:H42"/>
    <mergeCell ref="I42:AE42"/>
    <mergeCell ref="AG42:AN42"/>
    <mergeCell ref="I41:AE41"/>
    <mergeCell ref="AG41:AN41"/>
    <mergeCell ref="B40:E40"/>
    <mergeCell ref="F40:H40"/>
    <mergeCell ref="I40:AE40"/>
    <mergeCell ref="AG40:AN40"/>
    <mergeCell ref="B39:E39"/>
    <mergeCell ref="F39:H39"/>
    <mergeCell ref="I39:AE39"/>
    <mergeCell ref="AG39:AN39"/>
    <mergeCell ref="AO39:AV39"/>
    <mergeCell ref="AX35:BB35"/>
    <mergeCell ref="AO36:AV36"/>
    <mergeCell ref="AX36:BB36"/>
    <mergeCell ref="AO37:AV37"/>
    <mergeCell ref="AX37:BB37"/>
    <mergeCell ref="AO38:AV38"/>
    <mergeCell ref="AX38:BB38"/>
    <mergeCell ref="B37:E37"/>
    <mergeCell ref="F37:H37"/>
    <mergeCell ref="B38:E38"/>
    <mergeCell ref="F38:H38"/>
    <mergeCell ref="I38:AE38"/>
    <mergeCell ref="AG38:AN38"/>
    <mergeCell ref="I37:AE37"/>
    <mergeCell ref="AG37:AN37"/>
    <mergeCell ref="B36:E36"/>
    <mergeCell ref="F36:H36"/>
    <mergeCell ref="I36:AE36"/>
    <mergeCell ref="AG36:AN36"/>
    <mergeCell ref="B35:E35"/>
    <mergeCell ref="F35:H35"/>
    <mergeCell ref="I35:AE35"/>
    <mergeCell ref="AG35:AN35"/>
    <mergeCell ref="AO35:AV35"/>
    <mergeCell ref="AX31:BB31"/>
    <mergeCell ref="AO32:AV32"/>
    <mergeCell ref="AX32:BB32"/>
    <mergeCell ref="AO33:AV33"/>
    <mergeCell ref="AX33:BB33"/>
    <mergeCell ref="AO34:AV34"/>
    <mergeCell ref="AX34:BB34"/>
    <mergeCell ref="B33:E33"/>
    <mergeCell ref="F33:H33"/>
    <mergeCell ref="B34:E34"/>
    <mergeCell ref="F34:H34"/>
    <mergeCell ref="I34:AE34"/>
    <mergeCell ref="AG34:AN34"/>
    <mergeCell ref="I33:AE33"/>
    <mergeCell ref="AG33:AN33"/>
    <mergeCell ref="B32:E32"/>
    <mergeCell ref="F32:H32"/>
    <mergeCell ref="I32:AE32"/>
    <mergeCell ref="AG32:AN32"/>
    <mergeCell ref="B31:E31"/>
    <mergeCell ref="F31:H31"/>
    <mergeCell ref="I31:AE31"/>
    <mergeCell ref="AG31:AN31"/>
    <mergeCell ref="AO31:AV31"/>
    <mergeCell ref="AX27:BB27"/>
    <mergeCell ref="AO28:AV28"/>
    <mergeCell ref="AX28:BB28"/>
    <mergeCell ref="AO29:AV29"/>
    <mergeCell ref="AX29:BB29"/>
    <mergeCell ref="AO30:AV30"/>
    <mergeCell ref="AX30:BB30"/>
    <mergeCell ref="B29:E29"/>
    <mergeCell ref="F29:H29"/>
    <mergeCell ref="B30:E30"/>
    <mergeCell ref="F30:H30"/>
    <mergeCell ref="I30:AE30"/>
    <mergeCell ref="AG30:AN30"/>
    <mergeCell ref="I29:AE29"/>
    <mergeCell ref="AG29:AN29"/>
    <mergeCell ref="B28:E28"/>
    <mergeCell ref="F28:H28"/>
    <mergeCell ref="I28:AE28"/>
    <mergeCell ref="AG28:AN28"/>
    <mergeCell ref="B27:E27"/>
    <mergeCell ref="F27:H27"/>
    <mergeCell ref="I27:AE27"/>
    <mergeCell ref="AG27:AN27"/>
    <mergeCell ref="AO27:AV27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AO24:AV24"/>
    <mergeCell ref="BD22:BD23"/>
    <mergeCell ref="C2:L11"/>
    <mergeCell ref="M3:AT5"/>
    <mergeCell ref="M6:AT8"/>
    <mergeCell ref="AN10:AX11"/>
    <mergeCell ref="AY10:BB11"/>
    <mergeCell ref="B13:H14"/>
    <mergeCell ref="J13:K14"/>
    <mergeCell ref="L13:M14"/>
    <mergeCell ref="P13:S14"/>
    <mergeCell ref="U13:AK14"/>
    <mergeCell ref="AN13:AX14"/>
    <mergeCell ref="AY13:BB14"/>
    <mergeCell ref="B19:K20"/>
    <mergeCell ref="M19:BB20"/>
    <mergeCell ref="B16:K17"/>
    <mergeCell ref="L16:N17"/>
    <mergeCell ref="P16:Z17"/>
    <mergeCell ref="AX24:BB24"/>
    <mergeCell ref="B24:E24"/>
    <mergeCell ref="F24:H24"/>
    <mergeCell ref="I24:AE24"/>
    <mergeCell ref="AG24:AN24"/>
    <mergeCell ref="AB16:AQ17"/>
    <mergeCell ref="AS16:AX17"/>
    <mergeCell ref="AY16:BB17"/>
    <mergeCell ref="AX22:BB23"/>
    <mergeCell ref="B22:E23"/>
    <mergeCell ref="F22:H23"/>
    <mergeCell ref="I22:AE23"/>
    <mergeCell ref="AG22:AN23"/>
    <mergeCell ref="AO22:AV23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69"/>
  <sheetViews>
    <sheetView zoomScale="140" zoomScaleNormal="140" workbookViewId="0">
      <selection activeCell="M19" sqref="M19:BB20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85"/>
      <c r="D2" s="85"/>
      <c r="E2" s="85"/>
      <c r="F2" s="85"/>
      <c r="G2" s="85"/>
      <c r="H2" s="85"/>
      <c r="I2" s="85"/>
      <c r="J2" s="85"/>
      <c r="K2" s="85"/>
      <c r="L2" s="85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85"/>
      <c r="D3" s="85"/>
      <c r="E3" s="85"/>
      <c r="F3" s="85"/>
      <c r="G3" s="85"/>
      <c r="H3" s="85"/>
      <c r="I3" s="85"/>
      <c r="J3" s="85"/>
      <c r="K3" s="85"/>
      <c r="L3" s="85"/>
      <c r="M3" s="83" t="s">
        <v>0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85"/>
      <c r="D4" s="85"/>
      <c r="E4" s="85"/>
      <c r="F4" s="85"/>
      <c r="G4" s="85"/>
      <c r="H4" s="85"/>
      <c r="I4" s="85"/>
      <c r="J4" s="85"/>
      <c r="K4" s="85"/>
      <c r="L4" s="85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85"/>
      <c r="D5" s="85"/>
      <c r="E5" s="85"/>
      <c r="F5" s="85"/>
      <c r="G5" s="85"/>
      <c r="H5" s="85"/>
      <c r="I5" s="85"/>
      <c r="J5" s="85"/>
      <c r="K5" s="85"/>
      <c r="L5" s="85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85"/>
      <c r="D6" s="85"/>
      <c r="E6" s="85"/>
      <c r="F6" s="85"/>
      <c r="G6" s="85"/>
      <c r="H6" s="85"/>
      <c r="I6" s="85"/>
      <c r="J6" s="85"/>
      <c r="K6" s="85"/>
      <c r="L6" s="85"/>
      <c r="M6" s="83" t="s">
        <v>75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85"/>
      <c r="D7" s="85"/>
      <c r="E7" s="85"/>
      <c r="F7" s="85"/>
      <c r="G7" s="85"/>
      <c r="H7" s="85"/>
      <c r="I7" s="85"/>
      <c r="J7" s="85"/>
      <c r="K7" s="85"/>
      <c r="L7" s="85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85"/>
      <c r="D8" s="85"/>
      <c r="E8" s="85"/>
      <c r="F8" s="85"/>
      <c r="G8" s="85"/>
      <c r="H8" s="85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85"/>
      <c r="D9" s="85"/>
      <c r="E9" s="85"/>
      <c r="F9" s="85"/>
      <c r="G9" s="85"/>
      <c r="H9" s="85"/>
      <c r="I9" s="85"/>
      <c r="J9" s="85"/>
      <c r="K9" s="85"/>
      <c r="L9" s="85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49" t="s">
        <v>49</v>
      </c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 t="s">
        <v>6</v>
      </c>
      <c r="AZ10" s="49"/>
      <c r="BA10" s="49"/>
      <c r="BB10" s="49"/>
      <c r="BC10" s="22"/>
    </row>
    <row r="11" spans="1:55" ht="6.95" customHeight="1">
      <c r="A11" s="19"/>
      <c r="B11" s="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58"/>
      <c r="AZ11" s="58"/>
      <c r="BA11" s="58"/>
      <c r="BB11" s="58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6" t="s">
        <v>7</v>
      </c>
      <c r="C13" s="56"/>
      <c r="D13" s="56"/>
      <c r="E13" s="56"/>
      <c r="F13" s="56"/>
      <c r="G13" s="56"/>
      <c r="H13" s="56"/>
      <c r="I13" s="5"/>
      <c r="J13" s="59">
        <v>0</v>
      </c>
      <c r="K13" s="59"/>
      <c r="L13" s="56">
        <v>7</v>
      </c>
      <c r="M13" s="56"/>
      <c r="N13" s="5"/>
      <c r="O13" s="5"/>
      <c r="P13" s="49" t="s">
        <v>8</v>
      </c>
      <c r="Q13" s="49"/>
      <c r="R13" s="49"/>
      <c r="S13" s="49"/>
      <c r="T13" s="5"/>
      <c r="U13" s="56" t="s">
        <v>9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"/>
      <c r="AM13" s="5"/>
      <c r="AN13" s="49" t="s">
        <v>50</v>
      </c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>
        <v>2</v>
      </c>
      <c r="AZ13" s="49"/>
      <c r="BA13" s="49"/>
      <c r="BB13" s="49"/>
      <c r="BC13" s="23"/>
    </row>
    <row r="14" spans="1:55" ht="6.95" customHeight="1">
      <c r="A14" s="19"/>
      <c r="B14" s="56"/>
      <c r="C14" s="56"/>
      <c r="D14" s="56"/>
      <c r="E14" s="56"/>
      <c r="F14" s="56"/>
      <c r="G14" s="56"/>
      <c r="H14" s="56"/>
      <c r="I14" s="15"/>
      <c r="J14" s="60"/>
      <c r="K14" s="60"/>
      <c r="L14" s="57"/>
      <c r="M14" s="57"/>
      <c r="N14" s="15"/>
      <c r="O14" s="5"/>
      <c r="P14" s="49"/>
      <c r="Q14" s="49"/>
      <c r="R14" s="49"/>
      <c r="S14" s="49"/>
      <c r="T14" s="1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"/>
      <c r="AM14" s="5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58"/>
      <c r="AZ14" s="58"/>
      <c r="BA14" s="58"/>
      <c r="BB14" s="58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6" t="s">
        <v>52</v>
      </c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5"/>
      <c r="P16" s="49" t="s">
        <v>11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"/>
      <c r="AS16" s="49" t="s">
        <v>12</v>
      </c>
      <c r="AT16" s="49"/>
      <c r="AU16" s="49"/>
      <c r="AV16" s="49"/>
      <c r="AW16" s="49"/>
      <c r="AX16" s="49"/>
      <c r="AY16" s="49"/>
      <c r="AZ16" s="49"/>
      <c r="BA16" s="49"/>
      <c r="BB16" s="49"/>
      <c r="BC16" s="22"/>
    </row>
    <row r="17" spans="1:56" ht="6.95" customHeight="1">
      <c r="A17" s="1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8"/>
      <c r="M17" s="58"/>
      <c r="N17" s="58"/>
      <c r="O17" s="5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"/>
      <c r="AS17" s="49"/>
      <c r="AT17" s="49"/>
      <c r="AU17" s="49"/>
      <c r="AV17" s="49"/>
      <c r="AW17" s="49"/>
      <c r="AX17" s="49"/>
      <c r="AY17" s="58"/>
      <c r="AZ17" s="58"/>
      <c r="BA17" s="58"/>
      <c r="BB17" s="58"/>
      <c r="BC17" s="22"/>
    </row>
    <row r="18" spans="1:56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6" ht="6.95" customHeight="1">
      <c r="A19" s="19"/>
      <c r="B19" s="56" t="s">
        <v>51</v>
      </c>
      <c r="C19" s="56"/>
      <c r="D19" s="56"/>
      <c r="E19" s="56"/>
      <c r="F19" s="56"/>
      <c r="G19" s="56"/>
      <c r="H19" s="56"/>
      <c r="I19" s="56"/>
      <c r="J19" s="56"/>
      <c r="K19" s="56"/>
      <c r="L19" s="3"/>
      <c r="M19" s="86" t="s">
        <v>86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22"/>
    </row>
    <row r="20" spans="1:56" ht="6.95" customHeight="1">
      <c r="A20" s="1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29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22"/>
    </row>
    <row r="21" spans="1:56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6" ht="9.75" customHeight="1">
      <c r="A22" s="19"/>
      <c r="B22" s="84" t="s">
        <v>53</v>
      </c>
      <c r="C22" s="62"/>
      <c r="D22" s="62"/>
      <c r="E22" s="62"/>
      <c r="F22" s="84" t="s">
        <v>54</v>
      </c>
      <c r="G22" s="62"/>
      <c r="H22" s="62"/>
      <c r="I22" s="62" t="s">
        <v>55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31"/>
      <c r="AG22" s="76" t="s">
        <v>56</v>
      </c>
      <c r="AH22" s="77"/>
      <c r="AI22" s="77"/>
      <c r="AJ22" s="77"/>
      <c r="AK22" s="77"/>
      <c r="AL22" s="77"/>
      <c r="AM22" s="77"/>
      <c r="AN22" s="77"/>
      <c r="AO22" s="76" t="s">
        <v>57</v>
      </c>
      <c r="AP22" s="77"/>
      <c r="AQ22" s="77"/>
      <c r="AR22" s="77"/>
      <c r="AS22" s="77"/>
      <c r="AT22" s="77"/>
      <c r="AU22" s="77"/>
      <c r="AV22" s="77"/>
      <c r="AW22" s="32"/>
      <c r="AX22" s="76" t="s">
        <v>58</v>
      </c>
      <c r="AY22" s="77"/>
      <c r="AZ22" s="77"/>
      <c r="BA22" s="77"/>
      <c r="BB22" s="77"/>
      <c r="BC22" s="24"/>
      <c r="BD22" s="75" t="s">
        <v>73</v>
      </c>
    </row>
    <row r="23" spans="1:56" ht="9.75" customHeight="1">
      <c r="A23" s="19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11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32"/>
      <c r="AX23" s="77"/>
      <c r="AY23" s="77"/>
      <c r="AZ23" s="77"/>
      <c r="BA23" s="77"/>
      <c r="BB23" s="77"/>
      <c r="BC23" s="22"/>
      <c r="BD23" s="75"/>
    </row>
    <row r="24" spans="1:56" ht="12.75" customHeight="1">
      <c r="A24" s="19"/>
      <c r="B24" s="95">
        <v>1</v>
      </c>
      <c r="C24" s="96"/>
      <c r="D24" s="96"/>
      <c r="E24" s="97"/>
      <c r="F24" s="95">
        <v>2</v>
      </c>
      <c r="G24" s="96"/>
      <c r="H24" s="97"/>
      <c r="I24" s="98" t="s">
        <v>69</v>
      </c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00"/>
      <c r="AF24" s="12"/>
      <c r="AG24" s="101"/>
      <c r="AH24" s="101"/>
      <c r="AI24" s="101"/>
      <c r="AJ24" s="101"/>
      <c r="AK24" s="101"/>
      <c r="AL24" s="101"/>
      <c r="AM24" s="101"/>
      <c r="AN24" s="101"/>
      <c r="AO24" s="94">
        <v>0</v>
      </c>
      <c r="AP24" s="94"/>
      <c r="AQ24" s="94"/>
      <c r="AR24" s="94"/>
      <c r="AS24" s="94"/>
      <c r="AT24" s="94"/>
      <c r="AU24" s="94"/>
      <c r="AV24" s="94"/>
      <c r="AW24" s="12"/>
      <c r="AX24" s="54">
        <f>IF(AO24=0,F24,(AO24-1)*(-F24))</f>
        <v>2</v>
      </c>
      <c r="AY24" s="54"/>
      <c r="AZ24" s="54"/>
      <c r="BA24" s="54"/>
      <c r="BB24" s="54"/>
      <c r="BC24" s="25"/>
      <c r="BD24" s="48">
        <v>0</v>
      </c>
    </row>
    <row r="25" spans="1:56" ht="12.75" customHeight="1">
      <c r="A25" s="19"/>
      <c r="B25" s="54">
        <v>2</v>
      </c>
      <c r="C25" s="54"/>
      <c r="D25" s="54"/>
      <c r="E25" s="54"/>
      <c r="F25" s="54"/>
      <c r="G25" s="54"/>
      <c r="H25" s="54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2"/>
      <c r="AG25" s="101"/>
      <c r="AH25" s="101"/>
      <c r="AI25" s="101"/>
      <c r="AJ25" s="101"/>
      <c r="AK25" s="101"/>
      <c r="AL25" s="101"/>
      <c r="AM25" s="101"/>
      <c r="AN25" s="101"/>
      <c r="AO25" s="54"/>
      <c r="AP25" s="54"/>
      <c r="AQ25" s="54"/>
      <c r="AR25" s="54"/>
      <c r="AS25" s="54"/>
      <c r="AT25" s="54"/>
      <c r="AU25" s="54"/>
      <c r="AV25" s="54"/>
      <c r="AW25" s="12"/>
      <c r="AX25" s="54"/>
      <c r="AY25" s="54"/>
      <c r="AZ25" s="54"/>
      <c r="BA25" s="54"/>
      <c r="BB25" s="54"/>
      <c r="BC25" s="25"/>
    </row>
    <row r="26" spans="1:56" ht="12.75" customHeight="1">
      <c r="A26" s="19"/>
      <c r="B26" s="54">
        <v>3</v>
      </c>
      <c r="C26" s="54"/>
      <c r="D26" s="54"/>
      <c r="E26" s="54"/>
      <c r="F26" s="54"/>
      <c r="G26" s="54"/>
      <c r="H26" s="54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2"/>
      <c r="AG26" s="101"/>
      <c r="AH26" s="101"/>
      <c r="AI26" s="101"/>
      <c r="AJ26" s="101"/>
      <c r="AK26" s="101"/>
      <c r="AL26" s="101"/>
      <c r="AM26" s="101"/>
      <c r="AN26" s="101"/>
      <c r="AO26" s="54"/>
      <c r="AP26" s="54"/>
      <c r="AQ26" s="54"/>
      <c r="AR26" s="54"/>
      <c r="AS26" s="54"/>
      <c r="AT26" s="54"/>
      <c r="AU26" s="54"/>
      <c r="AV26" s="54"/>
      <c r="AW26" s="12"/>
      <c r="AX26" s="54"/>
      <c r="AY26" s="54"/>
      <c r="AZ26" s="54"/>
      <c r="BA26" s="54"/>
      <c r="BB26" s="54"/>
      <c r="BC26" s="25"/>
    </row>
    <row r="27" spans="1:56" ht="12.75" customHeight="1">
      <c r="A27" s="19"/>
      <c r="B27" s="54">
        <v>4</v>
      </c>
      <c r="C27" s="54"/>
      <c r="D27" s="54"/>
      <c r="E27" s="54"/>
      <c r="F27" s="54"/>
      <c r="G27" s="54"/>
      <c r="H27" s="54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2"/>
      <c r="AG27" s="101"/>
      <c r="AH27" s="101"/>
      <c r="AI27" s="101"/>
      <c r="AJ27" s="101"/>
      <c r="AK27" s="101"/>
      <c r="AL27" s="101"/>
      <c r="AM27" s="101"/>
      <c r="AN27" s="101"/>
      <c r="AO27" s="54"/>
      <c r="AP27" s="54"/>
      <c r="AQ27" s="54"/>
      <c r="AR27" s="54"/>
      <c r="AS27" s="54"/>
      <c r="AT27" s="54"/>
      <c r="AU27" s="54"/>
      <c r="AV27" s="54"/>
      <c r="AW27" s="12"/>
      <c r="AX27" s="54"/>
      <c r="AY27" s="54"/>
      <c r="AZ27" s="54"/>
      <c r="BA27" s="54"/>
      <c r="BB27" s="54"/>
      <c r="BC27" s="25"/>
    </row>
    <row r="28" spans="1:56" ht="12.75" customHeight="1">
      <c r="A28" s="19"/>
      <c r="B28" s="54">
        <v>5</v>
      </c>
      <c r="C28" s="54"/>
      <c r="D28" s="54"/>
      <c r="E28" s="54"/>
      <c r="F28" s="54"/>
      <c r="G28" s="54"/>
      <c r="H28" s="54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2"/>
      <c r="AG28" s="101"/>
      <c r="AH28" s="101"/>
      <c r="AI28" s="101"/>
      <c r="AJ28" s="101"/>
      <c r="AK28" s="101"/>
      <c r="AL28" s="101"/>
      <c r="AM28" s="101"/>
      <c r="AN28" s="101"/>
      <c r="AO28" s="54"/>
      <c r="AP28" s="54"/>
      <c r="AQ28" s="54"/>
      <c r="AR28" s="54"/>
      <c r="AS28" s="54"/>
      <c r="AT28" s="54"/>
      <c r="AU28" s="54"/>
      <c r="AV28" s="54"/>
      <c r="AW28" s="12"/>
      <c r="AX28" s="54"/>
      <c r="AY28" s="54"/>
      <c r="AZ28" s="54"/>
      <c r="BA28" s="54"/>
      <c r="BB28" s="54"/>
      <c r="BC28" s="25"/>
    </row>
    <row r="29" spans="1:56" ht="12.75" customHeight="1">
      <c r="A29" s="19"/>
      <c r="B29" s="54">
        <v>6</v>
      </c>
      <c r="C29" s="54"/>
      <c r="D29" s="54"/>
      <c r="E29" s="54"/>
      <c r="F29" s="54"/>
      <c r="G29" s="54"/>
      <c r="H29" s="54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2"/>
      <c r="AG29" s="101"/>
      <c r="AH29" s="101"/>
      <c r="AI29" s="101"/>
      <c r="AJ29" s="101"/>
      <c r="AK29" s="101"/>
      <c r="AL29" s="101"/>
      <c r="AM29" s="101"/>
      <c r="AN29" s="101"/>
      <c r="AO29" s="54"/>
      <c r="AP29" s="54"/>
      <c r="AQ29" s="54"/>
      <c r="AR29" s="54"/>
      <c r="AS29" s="54"/>
      <c r="AT29" s="54"/>
      <c r="AU29" s="54"/>
      <c r="AV29" s="54"/>
      <c r="AW29" s="12"/>
      <c r="AX29" s="54"/>
      <c r="AY29" s="54"/>
      <c r="AZ29" s="54"/>
      <c r="BA29" s="54"/>
      <c r="BB29" s="54"/>
      <c r="BC29" s="25"/>
    </row>
    <row r="30" spans="1:56" ht="12.75" customHeight="1">
      <c r="A30" s="19"/>
      <c r="B30" s="54">
        <v>7</v>
      </c>
      <c r="C30" s="54"/>
      <c r="D30" s="54"/>
      <c r="E30" s="54"/>
      <c r="F30" s="54"/>
      <c r="G30" s="54"/>
      <c r="H30" s="54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2"/>
      <c r="AG30" s="101"/>
      <c r="AH30" s="101"/>
      <c r="AI30" s="101"/>
      <c r="AJ30" s="101"/>
      <c r="AK30" s="101"/>
      <c r="AL30" s="101"/>
      <c r="AM30" s="101"/>
      <c r="AN30" s="101"/>
      <c r="AO30" s="54"/>
      <c r="AP30" s="54"/>
      <c r="AQ30" s="54"/>
      <c r="AR30" s="54"/>
      <c r="AS30" s="54"/>
      <c r="AT30" s="54"/>
      <c r="AU30" s="54"/>
      <c r="AV30" s="54"/>
      <c r="AW30" s="12"/>
      <c r="AX30" s="54"/>
      <c r="AY30" s="54"/>
      <c r="AZ30" s="54"/>
      <c r="BA30" s="54"/>
      <c r="BB30" s="54"/>
      <c r="BC30" s="25"/>
    </row>
    <row r="31" spans="1:56" ht="12.75" customHeight="1">
      <c r="A31" s="19"/>
      <c r="B31" s="54">
        <v>8</v>
      </c>
      <c r="C31" s="54"/>
      <c r="D31" s="54"/>
      <c r="E31" s="54"/>
      <c r="F31" s="54"/>
      <c r="G31" s="54"/>
      <c r="H31" s="54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2"/>
      <c r="AG31" s="101"/>
      <c r="AH31" s="101"/>
      <c r="AI31" s="101"/>
      <c r="AJ31" s="101"/>
      <c r="AK31" s="101"/>
      <c r="AL31" s="101"/>
      <c r="AM31" s="101"/>
      <c r="AN31" s="101"/>
      <c r="AO31" s="54"/>
      <c r="AP31" s="54"/>
      <c r="AQ31" s="54"/>
      <c r="AR31" s="54"/>
      <c r="AS31" s="54"/>
      <c r="AT31" s="54"/>
      <c r="AU31" s="54"/>
      <c r="AV31" s="54"/>
      <c r="AW31" s="12"/>
      <c r="AX31" s="54"/>
      <c r="AY31" s="54"/>
      <c r="AZ31" s="54"/>
      <c r="BA31" s="54"/>
      <c r="BB31" s="54"/>
      <c r="BC31" s="25"/>
    </row>
    <row r="32" spans="1:56" ht="12.75" customHeight="1">
      <c r="A32" s="19"/>
      <c r="B32" s="54">
        <v>9</v>
      </c>
      <c r="C32" s="54"/>
      <c r="D32" s="54"/>
      <c r="E32" s="54"/>
      <c r="F32" s="54"/>
      <c r="G32" s="54"/>
      <c r="H32" s="54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2"/>
      <c r="AG32" s="101"/>
      <c r="AH32" s="101"/>
      <c r="AI32" s="101"/>
      <c r="AJ32" s="101"/>
      <c r="AK32" s="101"/>
      <c r="AL32" s="101"/>
      <c r="AM32" s="101"/>
      <c r="AN32" s="101"/>
      <c r="AO32" s="54"/>
      <c r="AP32" s="54"/>
      <c r="AQ32" s="54"/>
      <c r="AR32" s="54"/>
      <c r="AS32" s="54"/>
      <c r="AT32" s="54"/>
      <c r="AU32" s="54"/>
      <c r="AV32" s="54"/>
      <c r="AW32" s="12"/>
      <c r="AX32" s="54"/>
      <c r="AY32" s="54"/>
      <c r="AZ32" s="54"/>
      <c r="BA32" s="54"/>
      <c r="BB32" s="54"/>
      <c r="BC32" s="25"/>
    </row>
    <row r="33" spans="1:55" ht="12.75" customHeight="1">
      <c r="A33" s="19"/>
      <c r="B33" s="54">
        <v>10</v>
      </c>
      <c r="C33" s="54"/>
      <c r="D33" s="54"/>
      <c r="E33" s="54"/>
      <c r="F33" s="54"/>
      <c r="G33" s="54"/>
      <c r="H33" s="54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2"/>
      <c r="AG33" s="101"/>
      <c r="AH33" s="101"/>
      <c r="AI33" s="101"/>
      <c r="AJ33" s="101"/>
      <c r="AK33" s="101"/>
      <c r="AL33" s="101"/>
      <c r="AM33" s="101"/>
      <c r="AN33" s="101"/>
      <c r="AO33" s="54"/>
      <c r="AP33" s="54"/>
      <c r="AQ33" s="54"/>
      <c r="AR33" s="54"/>
      <c r="AS33" s="54"/>
      <c r="AT33" s="54"/>
      <c r="AU33" s="54"/>
      <c r="AV33" s="54"/>
      <c r="AW33" s="12"/>
      <c r="AX33" s="54"/>
      <c r="AY33" s="54"/>
      <c r="AZ33" s="54"/>
      <c r="BA33" s="54"/>
      <c r="BB33" s="54"/>
      <c r="BC33" s="25"/>
    </row>
    <row r="34" spans="1:55" ht="12.75" customHeight="1">
      <c r="A34" s="19"/>
      <c r="B34" s="54">
        <v>11</v>
      </c>
      <c r="C34" s="54"/>
      <c r="D34" s="54"/>
      <c r="E34" s="54"/>
      <c r="F34" s="54"/>
      <c r="G34" s="54"/>
      <c r="H34" s="54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2"/>
      <c r="AG34" s="101"/>
      <c r="AH34" s="101"/>
      <c r="AI34" s="101"/>
      <c r="AJ34" s="101"/>
      <c r="AK34" s="101"/>
      <c r="AL34" s="101"/>
      <c r="AM34" s="101"/>
      <c r="AN34" s="101"/>
      <c r="AO34" s="54"/>
      <c r="AP34" s="54"/>
      <c r="AQ34" s="54"/>
      <c r="AR34" s="54"/>
      <c r="AS34" s="54"/>
      <c r="AT34" s="54"/>
      <c r="AU34" s="54"/>
      <c r="AV34" s="54"/>
      <c r="AW34" s="12"/>
      <c r="AX34" s="54"/>
      <c r="AY34" s="54"/>
      <c r="AZ34" s="54"/>
      <c r="BA34" s="54"/>
      <c r="BB34" s="54"/>
      <c r="BC34" s="25"/>
    </row>
    <row r="35" spans="1:55" ht="12.75" customHeight="1">
      <c r="A35" s="19"/>
      <c r="B35" s="54">
        <v>12</v>
      </c>
      <c r="C35" s="54"/>
      <c r="D35" s="54"/>
      <c r="E35" s="54"/>
      <c r="F35" s="54"/>
      <c r="G35" s="54"/>
      <c r="H35" s="54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2"/>
      <c r="AG35" s="101"/>
      <c r="AH35" s="101"/>
      <c r="AI35" s="101"/>
      <c r="AJ35" s="101"/>
      <c r="AK35" s="101"/>
      <c r="AL35" s="101"/>
      <c r="AM35" s="101"/>
      <c r="AN35" s="101"/>
      <c r="AO35" s="54"/>
      <c r="AP35" s="54"/>
      <c r="AQ35" s="54"/>
      <c r="AR35" s="54"/>
      <c r="AS35" s="54"/>
      <c r="AT35" s="54"/>
      <c r="AU35" s="54"/>
      <c r="AV35" s="54"/>
      <c r="AW35" s="12"/>
      <c r="AX35" s="54"/>
      <c r="AY35" s="54"/>
      <c r="AZ35" s="54"/>
      <c r="BA35" s="54"/>
      <c r="BB35" s="54"/>
      <c r="BC35" s="25"/>
    </row>
    <row r="36" spans="1:55" ht="12.75" customHeight="1">
      <c r="A36" s="19"/>
      <c r="B36" s="54">
        <v>13</v>
      </c>
      <c r="C36" s="54"/>
      <c r="D36" s="54"/>
      <c r="E36" s="54"/>
      <c r="F36" s="54"/>
      <c r="G36" s="54"/>
      <c r="H36" s="54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2"/>
      <c r="AG36" s="101"/>
      <c r="AH36" s="101"/>
      <c r="AI36" s="101"/>
      <c r="AJ36" s="101"/>
      <c r="AK36" s="101"/>
      <c r="AL36" s="101"/>
      <c r="AM36" s="101"/>
      <c r="AN36" s="101"/>
      <c r="AO36" s="54"/>
      <c r="AP36" s="54"/>
      <c r="AQ36" s="54"/>
      <c r="AR36" s="54"/>
      <c r="AS36" s="54"/>
      <c r="AT36" s="54"/>
      <c r="AU36" s="54"/>
      <c r="AV36" s="54"/>
      <c r="AW36" s="12"/>
      <c r="AX36" s="54"/>
      <c r="AY36" s="54"/>
      <c r="AZ36" s="54"/>
      <c r="BA36" s="54"/>
      <c r="BB36" s="54"/>
      <c r="BC36" s="25"/>
    </row>
    <row r="37" spans="1:55" ht="12.75" customHeight="1">
      <c r="A37" s="19"/>
      <c r="B37" s="54">
        <v>14</v>
      </c>
      <c r="C37" s="54"/>
      <c r="D37" s="54"/>
      <c r="E37" s="54"/>
      <c r="F37" s="54"/>
      <c r="G37" s="54"/>
      <c r="H37" s="54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2"/>
      <c r="AG37" s="101"/>
      <c r="AH37" s="101"/>
      <c r="AI37" s="101"/>
      <c r="AJ37" s="101"/>
      <c r="AK37" s="101"/>
      <c r="AL37" s="101"/>
      <c r="AM37" s="101"/>
      <c r="AN37" s="101"/>
      <c r="AO37" s="54"/>
      <c r="AP37" s="54"/>
      <c r="AQ37" s="54"/>
      <c r="AR37" s="54"/>
      <c r="AS37" s="54"/>
      <c r="AT37" s="54"/>
      <c r="AU37" s="54"/>
      <c r="AV37" s="54"/>
      <c r="AW37" s="12"/>
      <c r="AX37" s="54"/>
      <c r="AY37" s="54"/>
      <c r="AZ37" s="54"/>
      <c r="BA37" s="54"/>
      <c r="BB37" s="54"/>
      <c r="BC37" s="25"/>
    </row>
    <row r="38" spans="1:55" ht="12.75" customHeight="1">
      <c r="A38" s="19"/>
      <c r="B38" s="54">
        <v>15</v>
      </c>
      <c r="C38" s="54"/>
      <c r="D38" s="54"/>
      <c r="E38" s="54"/>
      <c r="F38" s="54"/>
      <c r="G38" s="54"/>
      <c r="H38" s="54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2"/>
      <c r="AG38" s="101"/>
      <c r="AH38" s="101"/>
      <c r="AI38" s="101"/>
      <c r="AJ38" s="101"/>
      <c r="AK38" s="101"/>
      <c r="AL38" s="101"/>
      <c r="AM38" s="101"/>
      <c r="AN38" s="101"/>
      <c r="AO38" s="54"/>
      <c r="AP38" s="54"/>
      <c r="AQ38" s="54"/>
      <c r="AR38" s="54"/>
      <c r="AS38" s="54"/>
      <c r="AT38" s="54"/>
      <c r="AU38" s="54"/>
      <c r="AV38" s="54"/>
      <c r="AW38" s="12"/>
      <c r="AX38" s="54"/>
      <c r="AY38" s="54"/>
      <c r="AZ38" s="54"/>
      <c r="BA38" s="54"/>
      <c r="BB38" s="54"/>
      <c r="BC38" s="25"/>
    </row>
    <row r="39" spans="1:55" ht="12.75" customHeight="1">
      <c r="A39" s="19"/>
      <c r="B39" s="54">
        <v>16</v>
      </c>
      <c r="C39" s="54"/>
      <c r="D39" s="54"/>
      <c r="E39" s="54"/>
      <c r="F39" s="54"/>
      <c r="G39" s="54"/>
      <c r="H39" s="54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2"/>
      <c r="AG39" s="101"/>
      <c r="AH39" s="101"/>
      <c r="AI39" s="101"/>
      <c r="AJ39" s="101"/>
      <c r="AK39" s="101"/>
      <c r="AL39" s="101"/>
      <c r="AM39" s="101"/>
      <c r="AN39" s="101"/>
      <c r="AO39" s="54"/>
      <c r="AP39" s="54"/>
      <c r="AQ39" s="54"/>
      <c r="AR39" s="54"/>
      <c r="AS39" s="54"/>
      <c r="AT39" s="54"/>
      <c r="AU39" s="54"/>
      <c r="AV39" s="54"/>
      <c r="AW39" s="12"/>
      <c r="AX39" s="54"/>
      <c r="AY39" s="54"/>
      <c r="AZ39" s="54"/>
      <c r="BA39" s="54"/>
      <c r="BB39" s="54"/>
      <c r="BC39" s="25"/>
    </row>
    <row r="40" spans="1:55" ht="12.75" customHeight="1">
      <c r="A40" s="19"/>
      <c r="B40" s="54">
        <v>17</v>
      </c>
      <c r="C40" s="54"/>
      <c r="D40" s="54"/>
      <c r="E40" s="54"/>
      <c r="F40" s="54"/>
      <c r="G40" s="54"/>
      <c r="H40" s="54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2"/>
      <c r="AG40" s="101"/>
      <c r="AH40" s="101"/>
      <c r="AI40" s="101"/>
      <c r="AJ40" s="101"/>
      <c r="AK40" s="101"/>
      <c r="AL40" s="101"/>
      <c r="AM40" s="101"/>
      <c r="AN40" s="101"/>
      <c r="AO40" s="54"/>
      <c r="AP40" s="54"/>
      <c r="AQ40" s="54"/>
      <c r="AR40" s="54"/>
      <c r="AS40" s="54"/>
      <c r="AT40" s="54"/>
      <c r="AU40" s="54"/>
      <c r="AV40" s="54"/>
      <c r="AW40" s="12"/>
      <c r="AX40" s="54"/>
      <c r="AY40" s="54"/>
      <c r="AZ40" s="54"/>
      <c r="BA40" s="54"/>
      <c r="BB40" s="54"/>
      <c r="BC40" s="25"/>
    </row>
    <row r="41" spans="1:55" ht="12.75" customHeight="1">
      <c r="A41" s="19"/>
      <c r="B41" s="54">
        <v>18</v>
      </c>
      <c r="C41" s="54"/>
      <c r="D41" s="54"/>
      <c r="E41" s="54"/>
      <c r="F41" s="54"/>
      <c r="G41" s="54"/>
      <c r="H41" s="54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2"/>
      <c r="AG41" s="101"/>
      <c r="AH41" s="101"/>
      <c r="AI41" s="101"/>
      <c r="AJ41" s="101"/>
      <c r="AK41" s="101"/>
      <c r="AL41" s="101"/>
      <c r="AM41" s="101"/>
      <c r="AN41" s="101"/>
      <c r="AO41" s="54"/>
      <c r="AP41" s="54"/>
      <c r="AQ41" s="54"/>
      <c r="AR41" s="54"/>
      <c r="AS41" s="54"/>
      <c r="AT41" s="54"/>
      <c r="AU41" s="54"/>
      <c r="AV41" s="54"/>
      <c r="AW41" s="12"/>
      <c r="AX41" s="54"/>
      <c r="AY41" s="54"/>
      <c r="AZ41" s="54"/>
      <c r="BA41" s="54"/>
      <c r="BB41" s="54"/>
      <c r="BC41" s="25"/>
    </row>
    <row r="42" spans="1:55" ht="12.75" customHeight="1">
      <c r="A42" s="19"/>
      <c r="B42" s="54">
        <v>19</v>
      </c>
      <c r="C42" s="54"/>
      <c r="D42" s="54"/>
      <c r="E42" s="54"/>
      <c r="F42" s="54"/>
      <c r="G42" s="54"/>
      <c r="H42" s="54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2"/>
      <c r="AG42" s="101"/>
      <c r="AH42" s="101"/>
      <c r="AI42" s="101"/>
      <c r="AJ42" s="101"/>
      <c r="AK42" s="101"/>
      <c r="AL42" s="101"/>
      <c r="AM42" s="101"/>
      <c r="AN42" s="101"/>
      <c r="AO42" s="54"/>
      <c r="AP42" s="54"/>
      <c r="AQ42" s="54"/>
      <c r="AR42" s="54"/>
      <c r="AS42" s="54"/>
      <c r="AT42" s="54"/>
      <c r="AU42" s="54"/>
      <c r="AV42" s="54"/>
      <c r="AW42" s="12"/>
      <c r="AX42" s="54"/>
      <c r="AY42" s="54"/>
      <c r="AZ42" s="54"/>
      <c r="BA42" s="54"/>
      <c r="BB42" s="54"/>
      <c r="BC42" s="25"/>
    </row>
    <row r="43" spans="1:55" ht="12.75" customHeight="1">
      <c r="A43" s="19"/>
      <c r="B43" s="54">
        <v>20</v>
      </c>
      <c r="C43" s="54"/>
      <c r="D43" s="54"/>
      <c r="E43" s="54"/>
      <c r="F43" s="54"/>
      <c r="G43" s="54"/>
      <c r="H43" s="54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2"/>
      <c r="AG43" s="101"/>
      <c r="AH43" s="101"/>
      <c r="AI43" s="101"/>
      <c r="AJ43" s="101"/>
      <c r="AK43" s="101"/>
      <c r="AL43" s="101"/>
      <c r="AM43" s="101"/>
      <c r="AN43" s="101"/>
      <c r="AO43" s="54"/>
      <c r="AP43" s="54"/>
      <c r="AQ43" s="54"/>
      <c r="AR43" s="54"/>
      <c r="AS43" s="54"/>
      <c r="AT43" s="54"/>
      <c r="AU43" s="54"/>
      <c r="AV43" s="54"/>
      <c r="AW43" s="12"/>
      <c r="AX43" s="54"/>
      <c r="AY43" s="54"/>
      <c r="AZ43" s="54"/>
      <c r="BA43" s="54"/>
      <c r="BB43" s="54"/>
      <c r="BC43" s="25"/>
    </row>
    <row r="44" spans="1:55" ht="12.75" customHeight="1">
      <c r="A44" s="19"/>
      <c r="B44" s="54">
        <v>21</v>
      </c>
      <c r="C44" s="54"/>
      <c r="D44" s="54"/>
      <c r="E44" s="54"/>
      <c r="F44" s="54"/>
      <c r="G44" s="54"/>
      <c r="H44" s="54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2"/>
      <c r="AG44" s="101"/>
      <c r="AH44" s="101"/>
      <c r="AI44" s="101"/>
      <c r="AJ44" s="101"/>
      <c r="AK44" s="101"/>
      <c r="AL44" s="101"/>
      <c r="AM44" s="101"/>
      <c r="AN44" s="101"/>
      <c r="AO44" s="54"/>
      <c r="AP44" s="54"/>
      <c r="AQ44" s="54"/>
      <c r="AR44" s="54"/>
      <c r="AS44" s="54"/>
      <c r="AT44" s="54"/>
      <c r="AU44" s="54"/>
      <c r="AV44" s="54"/>
      <c r="AW44" s="12"/>
      <c r="AX44" s="54"/>
      <c r="AY44" s="54"/>
      <c r="AZ44" s="54"/>
      <c r="BA44" s="54"/>
      <c r="BB44" s="54"/>
      <c r="BC44" s="25"/>
    </row>
    <row r="45" spans="1:55" ht="12.75" customHeight="1">
      <c r="A45" s="19"/>
      <c r="B45" s="54">
        <v>22</v>
      </c>
      <c r="C45" s="54"/>
      <c r="D45" s="54"/>
      <c r="E45" s="54"/>
      <c r="F45" s="54"/>
      <c r="G45" s="54"/>
      <c r="H45" s="54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2"/>
      <c r="AG45" s="101"/>
      <c r="AH45" s="101"/>
      <c r="AI45" s="101"/>
      <c r="AJ45" s="101"/>
      <c r="AK45" s="101"/>
      <c r="AL45" s="101"/>
      <c r="AM45" s="101"/>
      <c r="AN45" s="101"/>
      <c r="AO45" s="54"/>
      <c r="AP45" s="54"/>
      <c r="AQ45" s="54"/>
      <c r="AR45" s="54"/>
      <c r="AS45" s="54"/>
      <c r="AT45" s="54"/>
      <c r="AU45" s="54"/>
      <c r="AV45" s="54"/>
      <c r="AW45" s="12"/>
      <c r="AX45" s="54"/>
      <c r="AY45" s="54"/>
      <c r="AZ45" s="54"/>
      <c r="BA45" s="54"/>
      <c r="BB45" s="54"/>
      <c r="BC45" s="25"/>
    </row>
    <row r="46" spans="1:55" ht="12.75" customHeight="1">
      <c r="A46" s="19"/>
      <c r="B46" s="54">
        <v>23</v>
      </c>
      <c r="C46" s="54"/>
      <c r="D46" s="54"/>
      <c r="E46" s="54"/>
      <c r="F46" s="54"/>
      <c r="G46" s="54"/>
      <c r="H46" s="54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2"/>
      <c r="AG46" s="101"/>
      <c r="AH46" s="101"/>
      <c r="AI46" s="101"/>
      <c r="AJ46" s="101"/>
      <c r="AK46" s="101"/>
      <c r="AL46" s="101"/>
      <c r="AM46" s="101"/>
      <c r="AN46" s="101"/>
      <c r="AO46" s="54"/>
      <c r="AP46" s="54"/>
      <c r="AQ46" s="54"/>
      <c r="AR46" s="54"/>
      <c r="AS46" s="54"/>
      <c r="AT46" s="54"/>
      <c r="AU46" s="54"/>
      <c r="AV46" s="54"/>
      <c r="AW46" s="12"/>
      <c r="AX46" s="54"/>
      <c r="AY46" s="54"/>
      <c r="AZ46" s="54"/>
      <c r="BA46" s="54"/>
      <c r="BB46" s="54"/>
      <c r="BC46" s="25"/>
    </row>
    <row r="47" spans="1:55" ht="12.75" customHeight="1">
      <c r="A47" s="19"/>
      <c r="B47" s="54">
        <v>24</v>
      </c>
      <c r="C47" s="54"/>
      <c r="D47" s="54"/>
      <c r="E47" s="54"/>
      <c r="F47" s="54"/>
      <c r="G47" s="54"/>
      <c r="H47" s="54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2"/>
      <c r="AG47" s="101"/>
      <c r="AH47" s="101"/>
      <c r="AI47" s="101"/>
      <c r="AJ47" s="101"/>
      <c r="AK47" s="101"/>
      <c r="AL47" s="101"/>
      <c r="AM47" s="101"/>
      <c r="AN47" s="101"/>
      <c r="AO47" s="54"/>
      <c r="AP47" s="54"/>
      <c r="AQ47" s="54"/>
      <c r="AR47" s="54"/>
      <c r="AS47" s="54"/>
      <c r="AT47" s="54"/>
      <c r="AU47" s="54"/>
      <c r="AV47" s="54"/>
      <c r="AW47" s="12"/>
      <c r="AX47" s="54"/>
      <c r="AY47" s="54"/>
      <c r="AZ47" s="54"/>
      <c r="BA47" s="54"/>
      <c r="BB47" s="54"/>
      <c r="BC47" s="25"/>
    </row>
    <row r="48" spans="1:55" ht="12.75" customHeight="1">
      <c r="A48" s="19"/>
      <c r="B48" s="54">
        <v>25</v>
      </c>
      <c r="C48" s="54"/>
      <c r="D48" s="54"/>
      <c r="E48" s="54"/>
      <c r="F48" s="54"/>
      <c r="G48" s="54"/>
      <c r="H48" s="54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2"/>
      <c r="AG48" s="101"/>
      <c r="AH48" s="101"/>
      <c r="AI48" s="101"/>
      <c r="AJ48" s="101"/>
      <c r="AK48" s="101"/>
      <c r="AL48" s="101"/>
      <c r="AM48" s="101"/>
      <c r="AN48" s="101"/>
      <c r="AO48" s="54"/>
      <c r="AP48" s="54"/>
      <c r="AQ48" s="54"/>
      <c r="AR48" s="54"/>
      <c r="AS48" s="54"/>
      <c r="AT48" s="54"/>
      <c r="AU48" s="54"/>
      <c r="AV48" s="54"/>
      <c r="AW48" s="12"/>
      <c r="AX48" s="54"/>
      <c r="AY48" s="54"/>
      <c r="AZ48" s="54"/>
      <c r="BA48" s="54"/>
      <c r="BB48" s="54"/>
      <c r="BC48" s="25"/>
    </row>
    <row r="49" spans="1:55" ht="12.75" customHeight="1">
      <c r="A49" s="19"/>
      <c r="B49" s="54">
        <v>26</v>
      </c>
      <c r="C49" s="54"/>
      <c r="D49" s="54"/>
      <c r="E49" s="54"/>
      <c r="F49" s="54"/>
      <c r="G49" s="54"/>
      <c r="H49" s="54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2"/>
      <c r="AG49" s="101"/>
      <c r="AH49" s="101"/>
      <c r="AI49" s="101"/>
      <c r="AJ49" s="101"/>
      <c r="AK49" s="101"/>
      <c r="AL49" s="101"/>
      <c r="AM49" s="101"/>
      <c r="AN49" s="101"/>
      <c r="AO49" s="54"/>
      <c r="AP49" s="54"/>
      <c r="AQ49" s="54"/>
      <c r="AR49" s="54"/>
      <c r="AS49" s="54"/>
      <c r="AT49" s="54"/>
      <c r="AU49" s="54"/>
      <c r="AV49" s="54"/>
      <c r="AW49" s="12"/>
      <c r="AX49" s="54"/>
      <c r="AY49" s="54"/>
      <c r="AZ49" s="54"/>
      <c r="BA49" s="54"/>
      <c r="BB49" s="54"/>
      <c r="BC49" s="25"/>
    </row>
    <row r="50" spans="1:55" ht="12.75" customHeight="1">
      <c r="A50" s="19"/>
      <c r="B50" s="54">
        <v>27</v>
      </c>
      <c r="C50" s="54"/>
      <c r="D50" s="54"/>
      <c r="E50" s="54"/>
      <c r="F50" s="54"/>
      <c r="G50" s="54"/>
      <c r="H50" s="54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2"/>
      <c r="AG50" s="101"/>
      <c r="AH50" s="101"/>
      <c r="AI50" s="101"/>
      <c r="AJ50" s="101"/>
      <c r="AK50" s="101"/>
      <c r="AL50" s="101"/>
      <c r="AM50" s="101"/>
      <c r="AN50" s="101"/>
      <c r="AO50" s="54"/>
      <c r="AP50" s="54"/>
      <c r="AQ50" s="54"/>
      <c r="AR50" s="54"/>
      <c r="AS50" s="54"/>
      <c r="AT50" s="54"/>
      <c r="AU50" s="54"/>
      <c r="AV50" s="54"/>
      <c r="AW50" s="12"/>
      <c r="AX50" s="54"/>
      <c r="AY50" s="54"/>
      <c r="AZ50" s="54"/>
      <c r="BA50" s="54"/>
      <c r="BB50" s="54"/>
      <c r="BC50" s="25"/>
    </row>
    <row r="51" spans="1:55" ht="12.75" customHeight="1">
      <c r="A51" s="19"/>
      <c r="B51" s="54">
        <v>28</v>
      </c>
      <c r="C51" s="54"/>
      <c r="D51" s="54"/>
      <c r="E51" s="54"/>
      <c r="F51" s="54"/>
      <c r="G51" s="54"/>
      <c r="H51" s="54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2"/>
      <c r="AG51" s="101"/>
      <c r="AH51" s="101"/>
      <c r="AI51" s="101"/>
      <c r="AJ51" s="101"/>
      <c r="AK51" s="101"/>
      <c r="AL51" s="101"/>
      <c r="AM51" s="101"/>
      <c r="AN51" s="101"/>
      <c r="AO51" s="54"/>
      <c r="AP51" s="54"/>
      <c r="AQ51" s="54"/>
      <c r="AR51" s="54"/>
      <c r="AS51" s="54"/>
      <c r="AT51" s="54"/>
      <c r="AU51" s="54"/>
      <c r="AV51" s="54"/>
      <c r="AW51" s="12"/>
      <c r="AX51" s="54"/>
      <c r="AY51" s="54"/>
      <c r="AZ51" s="54"/>
      <c r="BA51" s="54"/>
      <c r="BB51" s="54"/>
      <c r="BC51" s="25"/>
    </row>
    <row r="52" spans="1:55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5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5" s="35" customFormat="1" ht="8.1" customHeight="1">
      <c r="A54" s="34"/>
      <c r="B54" s="10"/>
      <c r="C54" s="10"/>
      <c r="D54" s="10"/>
      <c r="E54" s="10"/>
      <c r="F54" s="92">
        <f>SUM(F24:H51)</f>
        <v>2</v>
      </c>
      <c r="G54" s="92"/>
      <c r="H54" s="92"/>
      <c r="I54" s="91" t="s">
        <v>66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10"/>
      <c r="AG54" s="10"/>
      <c r="AH54" s="10"/>
      <c r="AI54" s="10"/>
      <c r="AJ54" s="10"/>
      <c r="AK54" s="10"/>
      <c r="AL54" s="10"/>
      <c r="AM54" s="10"/>
      <c r="AN54" s="50" t="s">
        <v>59</v>
      </c>
      <c r="AO54" s="50"/>
      <c r="AP54" s="50"/>
      <c r="AQ54" s="50"/>
      <c r="AR54" s="50"/>
      <c r="AS54" s="50"/>
      <c r="AT54" s="50"/>
      <c r="AU54" s="50"/>
      <c r="AV54" s="50"/>
      <c r="AW54" s="10"/>
      <c r="AX54" s="92">
        <f>SUM(AX24)</f>
        <v>2</v>
      </c>
      <c r="AY54" s="92"/>
      <c r="AZ54" s="92"/>
      <c r="BA54" s="92"/>
      <c r="BB54" s="92"/>
      <c r="BC54" s="36"/>
    </row>
    <row r="55" spans="1:55" s="35" customFormat="1" ht="8.1" customHeight="1">
      <c r="A55" s="34"/>
      <c r="B55" s="10"/>
      <c r="C55" s="10"/>
      <c r="D55" s="10"/>
      <c r="E55" s="10"/>
      <c r="F55" s="93"/>
      <c r="G55" s="93"/>
      <c r="H55" s="93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10"/>
      <c r="AG55" s="10"/>
      <c r="AH55" s="10"/>
      <c r="AI55" s="10"/>
      <c r="AJ55" s="10"/>
      <c r="AK55" s="10"/>
      <c r="AL55" s="10"/>
      <c r="AM55" s="10"/>
      <c r="AN55" s="50"/>
      <c r="AO55" s="50"/>
      <c r="AP55" s="50"/>
      <c r="AQ55" s="50"/>
      <c r="AR55" s="50"/>
      <c r="AS55" s="50"/>
      <c r="AT55" s="50"/>
      <c r="AU55" s="50"/>
      <c r="AV55" s="50"/>
      <c r="AW55" s="10"/>
      <c r="AX55" s="93"/>
      <c r="AY55" s="93"/>
      <c r="AZ55" s="93"/>
      <c r="BA55" s="93"/>
      <c r="BB55" s="93"/>
      <c r="BC55" s="38"/>
    </row>
    <row r="56" spans="1:55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</row>
    <row r="57" spans="1:55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</row>
    <row r="58" spans="1:55" s="35" customFormat="1" ht="8.1" customHeight="1">
      <c r="A58" s="34"/>
      <c r="B58" s="91" t="s">
        <v>60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</row>
    <row r="59" spans="1:55" s="35" customFormat="1" ht="8.1" customHeight="1">
      <c r="A59" s="3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</row>
    <row r="60" spans="1:55" s="35" customFormat="1" ht="11.25" customHeight="1">
      <c r="A60" s="34"/>
      <c r="B60" s="62" t="s">
        <v>61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11"/>
      <c r="S60" s="62" t="s">
        <v>24</v>
      </c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</row>
    <row r="61" spans="1:55" s="35" customFormat="1" ht="8.1" customHeight="1">
      <c r="A61" s="3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11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"/>
      <c r="AK61" s="65" t="s">
        <v>63</v>
      </c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41"/>
    </row>
    <row r="62" spans="1:55" s="35" customFormat="1" ht="8.1" customHeight="1">
      <c r="A62" s="3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1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11"/>
      <c r="AK62" s="65" t="s">
        <v>64</v>
      </c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40"/>
    </row>
    <row r="63" spans="1:55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65" t="s">
        <v>65</v>
      </c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41"/>
    </row>
    <row r="64" spans="1:55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2" t="s">
        <v>62</v>
      </c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89" t="s">
        <v>68</v>
      </c>
      <c r="C67" s="89"/>
      <c r="D67" s="89"/>
      <c r="E67" s="89"/>
      <c r="F67" s="89"/>
      <c r="G67" s="8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  <row r="69" spans="1:55" ht="8.1" customHeight="1">
      <c r="A69" s="1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8"/>
    </row>
  </sheetData>
  <mergeCells count="211">
    <mergeCell ref="B60:Q60"/>
    <mergeCell ref="S60:AI60"/>
    <mergeCell ref="B61:Q62"/>
    <mergeCell ref="S61:AI62"/>
    <mergeCell ref="F54:H55"/>
    <mergeCell ref="I54:AE55"/>
    <mergeCell ref="B67:G67"/>
    <mergeCell ref="AP67:BB67"/>
    <mergeCell ref="AK61:BB61"/>
    <mergeCell ref="AK62:BB62"/>
    <mergeCell ref="AK63:BB63"/>
    <mergeCell ref="S64:AA65"/>
    <mergeCell ref="AB64:AI65"/>
    <mergeCell ref="B51:E51"/>
    <mergeCell ref="F51:H51"/>
    <mergeCell ref="I51:AE51"/>
    <mergeCell ref="AG51:AN51"/>
    <mergeCell ref="AO51:AV51"/>
    <mergeCell ref="AX51:BB51"/>
    <mergeCell ref="AN54:AV55"/>
    <mergeCell ref="AX54:BB55"/>
    <mergeCell ref="B58:AE59"/>
    <mergeCell ref="AX47:BB47"/>
    <mergeCell ref="AO48:AV48"/>
    <mergeCell ref="AX48:BB48"/>
    <mergeCell ref="AO49:AV49"/>
    <mergeCell ref="AX49:BB49"/>
    <mergeCell ref="AO50:AV50"/>
    <mergeCell ref="AX50:BB50"/>
    <mergeCell ref="B49:E49"/>
    <mergeCell ref="F49:H49"/>
    <mergeCell ref="B50:E50"/>
    <mergeCell ref="F50:H50"/>
    <mergeCell ref="I50:AE50"/>
    <mergeCell ref="AG50:AN50"/>
    <mergeCell ref="I49:AE49"/>
    <mergeCell ref="AG49:AN49"/>
    <mergeCell ref="B48:E48"/>
    <mergeCell ref="F48:H48"/>
    <mergeCell ref="I48:AE48"/>
    <mergeCell ref="AG48:AN48"/>
    <mergeCell ref="B47:E47"/>
    <mergeCell ref="F47:H47"/>
    <mergeCell ref="I47:AE47"/>
    <mergeCell ref="AG47:AN47"/>
    <mergeCell ref="AO47:AV47"/>
    <mergeCell ref="AX43:BB43"/>
    <mergeCell ref="AO44:AV44"/>
    <mergeCell ref="AX44:BB44"/>
    <mergeCell ref="AO45:AV45"/>
    <mergeCell ref="AX45:BB45"/>
    <mergeCell ref="AO46:AV46"/>
    <mergeCell ref="AX46:BB46"/>
    <mergeCell ref="B45:E45"/>
    <mergeCell ref="F45:H45"/>
    <mergeCell ref="B46:E46"/>
    <mergeCell ref="F46:H46"/>
    <mergeCell ref="I46:AE46"/>
    <mergeCell ref="AG46:AN46"/>
    <mergeCell ref="I45:AE45"/>
    <mergeCell ref="AG45:AN45"/>
    <mergeCell ref="B44:E44"/>
    <mergeCell ref="F44:H44"/>
    <mergeCell ref="I44:AE44"/>
    <mergeCell ref="AG44:AN44"/>
    <mergeCell ref="B43:E43"/>
    <mergeCell ref="F43:H43"/>
    <mergeCell ref="I43:AE43"/>
    <mergeCell ref="AG43:AN43"/>
    <mergeCell ref="AO43:AV43"/>
    <mergeCell ref="AX39:BB39"/>
    <mergeCell ref="AO40:AV40"/>
    <mergeCell ref="AX40:BB40"/>
    <mergeCell ref="AO41:AV41"/>
    <mergeCell ref="AX41:BB41"/>
    <mergeCell ref="AO42:AV42"/>
    <mergeCell ref="AX42:BB42"/>
    <mergeCell ref="B41:E41"/>
    <mergeCell ref="F41:H41"/>
    <mergeCell ref="B42:E42"/>
    <mergeCell ref="F42:H42"/>
    <mergeCell ref="I42:AE42"/>
    <mergeCell ref="AG42:AN42"/>
    <mergeCell ref="I41:AE41"/>
    <mergeCell ref="AG41:AN41"/>
    <mergeCell ref="B40:E40"/>
    <mergeCell ref="F40:H40"/>
    <mergeCell ref="I40:AE40"/>
    <mergeCell ref="AG40:AN40"/>
    <mergeCell ref="B39:E39"/>
    <mergeCell ref="F39:H39"/>
    <mergeCell ref="I39:AE39"/>
    <mergeCell ref="AG39:AN39"/>
    <mergeCell ref="AO39:AV39"/>
    <mergeCell ref="AX35:BB35"/>
    <mergeCell ref="AO36:AV36"/>
    <mergeCell ref="AX36:BB36"/>
    <mergeCell ref="AO37:AV37"/>
    <mergeCell ref="AX37:BB37"/>
    <mergeCell ref="AO38:AV38"/>
    <mergeCell ref="AX38:BB38"/>
    <mergeCell ref="B37:E37"/>
    <mergeCell ref="F37:H37"/>
    <mergeCell ref="B38:E38"/>
    <mergeCell ref="F38:H38"/>
    <mergeCell ref="I38:AE38"/>
    <mergeCell ref="AG38:AN38"/>
    <mergeCell ref="I37:AE37"/>
    <mergeCell ref="AG37:AN37"/>
    <mergeCell ref="B36:E36"/>
    <mergeCell ref="F36:H36"/>
    <mergeCell ref="I36:AE36"/>
    <mergeCell ref="AG36:AN36"/>
    <mergeCell ref="B35:E35"/>
    <mergeCell ref="F35:H35"/>
    <mergeCell ref="I35:AE35"/>
    <mergeCell ref="AG35:AN35"/>
    <mergeCell ref="AO35:AV35"/>
    <mergeCell ref="AX31:BB31"/>
    <mergeCell ref="AO32:AV32"/>
    <mergeCell ref="AX32:BB32"/>
    <mergeCell ref="AO33:AV33"/>
    <mergeCell ref="AX33:BB33"/>
    <mergeCell ref="AO34:AV34"/>
    <mergeCell ref="AX34:BB34"/>
    <mergeCell ref="B33:E33"/>
    <mergeCell ref="F33:H33"/>
    <mergeCell ref="B34:E34"/>
    <mergeCell ref="F34:H34"/>
    <mergeCell ref="I34:AE34"/>
    <mergeCell ref="AG34:AN34"/>
    <mergeCell ref="I33:AE33"/>
    <mergeCell ref="AG33:AN33"/>
    <mergeCell ref="B32:E32"/>
    <mergeCell ref="F32:H32"/>
    <mergeCell ref="I32:AE32"/>
    <mergeCell ref="AG32:AN32"/>
    <mergeCell ref="B31:E31"/>
    <mergeCell ref="F31:H31"/>
    <mergeCell ref="I31:AE31"/>
    <mergeCell ref="AG31:AN31"/>
    <mergeCell ref="AO31:AV31"/>
    <mergeCell ref="AX27:BB27"/>
    <mergeCell ref="AO28:AV28"/>
    <mergeCell ref="AX28:BB28"/>
    <mergeCell ref="AO29:AV29"/>
    <mergeCell ref="AX29:BB29"/>
    <mergeCell ref="AO30:AV30"/>
    <mergeCell ref="AX30:BB30"/>
    <mergeCell ref="B29:E29"/>
    <mergeCell ref="F29:H29"/>
    <mergeCell ref="B30:E30"/>
    <mergeCell ref="F30:H30"/>
    <mergeCell ref="I30:AE30"/>
    <mergeCell ref="AG30:AN30"/>
    <mergeCell ref="I29:AE29"/>
    <mergeCell ref="AG29:AN29"/>
    <mergeCell ref="B28:E28"/>
    <mergeCell ref="F28:H28"/>
    <mergeCell ref="I28:AE28"/>
    <mergeCell ref="AG28:AN28"/>
    <mergeCell ref="B27:E27"/>
    <mergeCell ref="F27:H27"/>
    <mergeCell ref="I27:AE27"/>
    <mergeCell ref="AG27:AN27"/>
    <mergeCell ref="AO27:AV27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AO24:AV24"/>
    <mergeCell ref="BD22:BD23"/>
    <mergeCell ref="C2:L11"/>
    <mergeCell ref="M3:AT5"/>
    <mergeCell ref="M6:AT8"/>
    <mergeCell ref="AN10:AX11"/>
    <mergeCell ref="AY10:BB11"/>
    <mergeCell ref="B13:H14"/>
    <mergeCell ref="J13:K14"/>
    <mergeCell ref="L13:M14"/>
    <mergeCell ref="P13:S14"/>
    <mergeCell ref="U13:AK14"/>
    <mergeCell ref="AN13:AX14"/>
    <mergeCell ref="AY13:BB14"/>
    <mergeCell ref="B19:K20"/>
    <mergeCell ref="M19:BB20"/>
    <mergeCell ref="B16:K17"/>
    <mergeCell ref="L16:N17"/>
    <mergeCell ref="P16:Z17"/>
    <mergeCell ref="AX24:BB24"/>
    <mergeCell ref="B24:E24"/>
    <mergeCell ref="F24:H24"/>
    <mergeCell ref="I24:AE24"/>
    <mergeCell ref="AG24:AN24"/>
    <mergeCell ref="AB16:AQ17"/>
    <mergeCell ref="AS16:AX17"/>
    <mergeCell ref="AY16:BB17"/>
    <mergeCell ref="AX22:BB23"/>
    <mergeCell ref="B22:E23"/>
    <mergeCell ref="F22:H23"/>
    <mergeCell ref="I22:AE23"/>
    <mergeCell ref="AG22:AN23"/>
    <mergeCell ref="AO22:AV23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69"/>
  <sheetViews>
    <sheetView topLeftCell="A25" zoomScale="150" workbookViewId="0">
      <selection activeCell="M19" sqref="M19:BA20"/>
    </sheetView>
  </sheetViews>
  <sheetFormatPr defaultRowHeight="14.25"/>
  <cols>
    <col min="1" max="1" width="1.125" style="1" customWidth="1"/>
    <col min="2" max="45" width="1.5" style="1" customWidth="1"/>
    <col min="46" max="54" width="1.25" style="1" customWidth="1"/>
    <col min="55" max="55" width="9" style="1" customWidth="1"/>
    <col min="56" max="64" width="2.875" style="1" hidden="1" customWidth="1"/>
    <col min="65" max="16384" width="9" style="1"/>
  </cols>
  <sheetData>
    <row r="1" spans="1:54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8"/>
    </row>
    <row r="2" spans="1:54" ht="8.1" customHeight="1">
      <c r="A2" s="19"/>
      <c r="B2" s="2"/>
      <c r="C2" s="85"/>
      <c r="D2" s="85"/>
      <c r="E2" s="85"/>
      <c r="F2" s="85"/>
      <c r="G2" s="85"/>
      <c r="H2" s="85"/>
      <c r="I2" s="85"/>
      <c r="J2" s="85"/>
      <c r="K2" s="85"/>
      <c r="L2" s="85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5"/>
      <c r="AU2" s="5"/>
      <c r="AV2" s="5"/>
      <c r="AW2" s="5"/>
      <c r="AX2" s="5"/>
      <c r="AY2" s="5"/>
      <c r="AZ2" s="5"/>
      <c r="BA2" s="5"/>
      <c r="BB2" s="20"/>
    </row>
    <row r="3" spans="1:54" ht="6" customHeight="1">
      <c r="A3" s="19"/>
      <c r="B3" s="2"/>
      <c r="C3" s="85"/>
      <c r="D3" s="85"/>
      <c r="E3" s="85"/>
      <c r="F3" s="85"/>
      <c r="G3" s="85"/>
      <c r="H3" s="85"/>
      <c r="I3" s="85"/>
      <c r="J3" s="85"/>
      <c r="K3" s="85"/>
      <c r="L3" s="85"/>
      <c r="M3" s="83" t="s">
        <v>67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5"/>
      <c r="AU3" s="5"/>
      <c r="AV3" s="5"/>
      <c r="AW3" s="5"/>
      <c r="AX3" s="5"/>
      <c r="AY3" s="5"/>
      <c r="AZ3" s="5"/>
      <c r="BA3" s="5"/>
      <c r="BB3" s="20"/>
    </row>
    <row r="4" spans="1:54" ht="6" customHeight="1">
      <c r="A4" s="19"/>
      <c r="B4" s="2"/>
      <c r="C4" s="85"/>
      <c r="D4" s="85"/>
      <c r="E4" s="85"/>
      <c r="F4" s="85"/>
      <c r="G4" s="85"/>
      <c r="H4" s="85"/>
      <c r="I4" s="85"/>
      <c r="J4" s="85"/>
      <c r="K4" s="85"/>
      <c r="L4" s="85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5"/>
      <c r="AU4" s="5"/>
      <c r="AV4" s="5"/>
      <c r="AW4" s="5"/>
      <c r="AX4" s="5"/>
      <c r="AY4" s="5"/>
      <c r="AZ4" s="5"/>
      <c r="BA4" s="5"/>
      <c r="BB4" s="21"/>
    </row>
    <row r="5" spans="1:54" ht="6" customHeight="1">
      <c r="A5" s="19"/>
      <c r="B5" s="2"/>
      <c r="C5" s="85"/>
      <c r="D5" s="85"/>
      <c r="E5" s="85"/>
      <c r="F5" s="85"/>
      <c r="G5" s="85"/>
      <c r="H5" s="85"/>
      <c r="I5" s="85"/>
      <c r="J5" s="85"/>
      <c r="K5" s="85"/>
      <c r="L5" s="85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5"/>
      <c r="AU5" s="5"/>
      <c r="AV5" s="5"/>
      <c r="AW5" s="5"/>
      <c r="AX5" s="5"/>
      <c r="AY5" s="5"/>
      <c r="AZ5" s="5"/>
      <c r="BA5" s="5"/>
      <c r="BB5" s="21"/>
    </row>
    <row r="6" spans="1:54" ht="6" customHeight="1">
      <c r="A6" s="19"/>
      <c r="B6" s="2"/>
      <c r="C6" s="85"/>
      <c r="D6" s="85"/>
      <c r="E6" s="85"/>
      <c r="F6" s="85"/>
      <c r="G6" s="85"/>
      <c r="H6" s="85"/>
      <c r="I6" s="85"/>
      <c r="J6" s="85"/>
      <c r="K6" s="85"/>
      <c r="L6" s="85"/>
      <c r="M6" s="83" t="s">
        <v>75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5"/>
      <c r="AU6" s="5"/>
      <c r="AV6" s="5"/>
      <c r="AW6" s="5"/>
      <c r="AX6" s="5"/>
      <c r="AY6" s="5"/>
      <c r="AZ6" s="5"/>
      <c r="BA6" s="5"/>
      <c r="BB6" s="21"/>
    </row>
    <row r="7" spans="1:54" ht="6" customHeight="1">
      <c r="A7" s="19"/>
      <c r="B7" s="2"/>
      <c r="C7" s="85"/>
      <c r="D7" s="85"/>
      <c r="E7" s="85"/>
      <c r="F7" s="85"/>
      <c r="G7" s="85"/>
      <c r="H7" s="85"/>
      <c r="I7" s="85"/>
      <c r="J7" s="85"/>
      <c r="K7" s="85"/>
      <c r="L7" s="85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5"/>
      <c r="AU7" s="5"/>
      <c r="AV7" s="5"/>
      <c r="AW7" s="5"/>
      <c r="AX7" s="5"/>
      <c r="AY7" s="5"/>
      <c r="AZ7" s="5"/>
      <c r="BA7" s="5"/>
      <c r="BB7" s="21"/>
    </row>
    <row r="8" spans="1:54" ht="6" customHeight="1">
      <c r="A8" s="19"/>
      <c r="B8" s="2"/>
      <c r="C8" s="85"/>
      <c r="D8" s="85"/>
      <c r="E8" s="85"/>
      <c r="F8" s="85"/>
      <c r="G8" s="85"/>
      <c r="H8" s="85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5"/>
      <c r="AU8" s="5"/>
      <c r="AV8" s="5"/>
      <c r="AW8" s="5"/>
      <c r="AX8" s="5"/>
      <c r="AY8" s="5"/>
      <c r="AZ8" s="5"/>
      <c r="BA8" s="5"/>
      <c r="BB8" s="22"/>
    </row>
    <row r="9" spans="1:54" ht="6" customHeight="1">
      <c r="A9" s="19"/>
      <c r="B9" s="2"/>
      <c r="C9" s="85"/>
      <c r="D9" s="85"/>
      <c r="E9" s="85"/>
      <c r="F9" s="85"/>
      <c r="G9" s="85"/>
      <c r="H9" s="85"/>
      <c r="I9" s="85"/>
      <c r="J9" s="85"/>
      <c r="K9" s="85"/>
      <c r="L9" s="85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22"/>
    </row>
    <row r="10" spans="1:54" ht="6.95" customHeight="1">
      <c r="A10" s="19"/>
      <c r="B10" s="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49" t="s">
        <v>49</v>
      </c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 t="s">
        <v>5</v>
      </c>
      <c r="AY10" s="49"/>
      <c r="AZ10" s="49"/>
      <c r="BA10" s="49"/>
      <c r="BB10" s="22"/>
    </row>
    <row r="11" spans="1:54" ht="6.95" customHeight="1">
      <c r="A11" s="19"/>
      <c r="B11" s="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58"/>
      <c r="AY11" s="58"/>
      <c r="AZ11" s="58"/>
      <c r="BA11" s="58"/>
      <c r="BB11" s="22"/>
    </row>
    <row r="12" spans="1:54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22"/>
    </row>
    <row r="13" spans="1:54" ht="6.95" customHeight="1">
      <c r="A13" s="19"/>
      <c r="B13" s="56" t="s">
        <v>7</v>
      </c>
      <c r="C13" s="56"/>
      <c r="D13" s="56"/>
      <c r="E13" s="56"/>
      <c r="F13" s="56"/>
      <c r="G13" s="56"/>
      <c r="H13" s="56"/>
      <c r="I13" s="5"/>
      <c r="J13" s="59">
        <v>0</v>
      </c>
      <c r="K13" s="59"/>
      <c r="L13" s="56">
        <v>7</v>
      </c>
      <c r="M13" s="56"/>
      <c r="N13" s="5"/>
      <c r="O13" s="5"/>
      <c r="P13" s="49" t="s">
        <v>8</v>
      </c>
      <c r="Q13" s="49"/>
      <c r="R13" s="49"/>
      <c r="S13" s="49"/>
      <c r="T13" s="5"/>
      <c r="U13" s="56" t="s">
        <v>9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"/>
      <c r="AM13" s="49" t="s">
        <v>50</v>
      </c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>
        <v>2</v>
      </c>
      <c r="AY13" s="49"/>
      <c r="AZ13" s="49"/>
      <c r="BA13" s="49"/>
      <c r="BB13" s="23"/>
    </row>
    <row r="14" spans="1:54" ht="6.95" customHeight="1">
      <c r="A14" s="19"/>
      <c r="B14" s="56"/>
      <c r="C14" s="56"/>
      <c r="D14" s="56"/>
      <c r="E14" s="56"/>
      <c r="F14" s="56"/>
      <c r="G14" s="56"/>
      <c r="H14" s="56"/>
      <c r="I14" s="15"/>
      <c r="J14" s="60"/>
      <c r="K14" s="60"/>
      <c r="L14" s="57"/>
      <c r="M14" s="57"/>
      <c r="N14" s="15"/>
      <c r="O14" s="5"/>
      <c r="P14" s="49"/>
      <c r="Q14" s="49"/>
      <c r="R14" s="49"/>
      <c r="S14" s="49"/>
      <c r="T14" s="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58"/>
      <c r="AY14" s="58"/>
      <c r="AZ14" s="58"/>
      <c r="BA14" s="58"/>
      <c r="BB14" s="23"/>
    </row>
    <row r="15" spans="1:54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22"/>
    </row>
    <row r="16" spans="1:54" ht="6.95" customHeight="1">
      <c r="A16" s="19"/>
      <c r="B16" s="56" t="s">
        <v>52</v>
      </c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5"/>
      <c r="P16" s="49" t="s">
        <v>11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"/>
      <c r="AS16" s="49"/>
      <c r="AT16" s="49"/>
      <c r="AU16" s="49"/>
      <c r="AV16" s="49"/>
      <c r="AW16" s="49"/>
      <c r="AX16" s="49"/>
      <c r="AY16" s="49"/>
      <c r="AZ16" s="49"/>
      <c r="BA16" s="49"/>
      <c r="BB16" s="22"/>
    </row>
    <row r="17" spans="1:64" ht="6.95" customHeight="1">
      <c r="A17" s="1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8"/>
      <c r="M17" s="58"/>
      <c r="N17" s="58"/>
      <c r="O17" s="5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"/>
      <c r="AS17" s="49"/>
      <c r="AT17" s="49"/>
      <c r="AU17" s="49"/>
      <c r="AV17" s="49"/>
      <c r="AW17" s="49"/>
      <c r="AX17" s="58"/>
      <c r="AY17" s="58"/>
      <c r="AZ17" s="58"/>
      <c r="BA17" s="58"/>
      <c r="BB17" s="22"/>
    </row>
    <row r="18" spans="1:64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22"/>
    </row>
    <row r="19" spans="1:64" ht="6.95" customHeight="1">
      <c r="A19" s="19"/>
      <c r="B19" s="56" t="s">
        <v>51</v>
      </c>
      <c r="C19" s="56"/>
      <c r="D19" s="56"/>
      <c r="E19" s="56"/>
      <c r="F19" s="56"/>
      <c r="G19" s="56"/>
      <c r="H19" s="56"/>
      <c r="I19" s="56"/>
      <c r="J19" s="56"/>
      <c r="K19" s="56"/>
      <c r="L19" s="3"/>
      <c r="M19" s="86" t="s">
        <v>87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22"/>
    </row>
    <row r="20" spans="1:64" ht="6.95" customHeight="1">
      <c r="A20" s="1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30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22"/>
    </row>
    <row r="21" spans="1:64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24"/>
    </row>
    <row r="22" spans="1:64" ht="9.75" customHeight="1">
      <c r="A22" s="19"/>
      <c r="B22" s="108" t="s">
        <v>53</v>
      </c>
      <c r="C22" s="109"/>
      <c r="D22" s="109"/>
      <c r="E22" s="110"/>
      <c r="F22" s="108" t="s">
        <v>54</v>
      </c>
      <c r="G22" s="109"/>
      <c r="H22" s="110"/>
      <c r="I22" s="118" t="s">
        <v>55</v>
      </c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20"/>
      <c r="AF22" s="31"/>
      <c r="AG22" s="108" t="s">
        <v>71</v>
      </c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10"/>
      <c r="AV22" s="32"/>
      <c r="AW22" s="108" t="s">
        <v>58</v>
      </c>
      <c r="AX22" s="109"/>
      <c r="AY22" s="109"/>
      <c r="AZ22" s="109"/>
      <c r="BA22" s="110"/>
      <c r="BB22" s="24"/>
    </row>
    <row r="23" spans="1:64" ht="9.75" customHeight="1">
      <c r="A23" s="19"/>
      <c r="B23" s="111"/>
      <c r="C23" s="112"/>
      <c r="D23" s="112"/>
      <c r="E23" s="113"/>
      <c r="F23" s="111"/>
      <c r="G23" s="112"/>
      <c r="H23" s="113"/>
      <c r="I23" s="121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122"/>
      <c r="AF23" s="11"/>
      <c r="AG23" s="114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6"/>
      <c r="AV23" s="32"/>
      <c r="AW23" s="111"/>
      <c r="AX23" s="112"/>
      <c r="AY23" s="112"/>
      <c r="AZ23" s="112"/>
      <c r="BA23" s="113"/>
      <c r="BB23" s="22"/>
    </row>
    <row r="24" spans="1:64" ht="12.75" customHeight="1">
      <c r="A24" s="19"/>
      <c r="B24" s="114"/>
      <c r="C24" s="115"/>
      <c r="D24" s="115"/>
      <c r="E24" s="116"/>
      <c r="F24" s="114"/>
      <c r="G24" s="115"/>
      <c r="H24" s="116"/>
      <c r="I24" s="123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124"/>
      <c r="AF24" s="12"/>
      <c r="AG24" s="54">
        <v>1</v>
      </c>
      <c r="AH24" s="54"/>
      <c r="AI24" s="54"/>
      <c r="AJ24" s="54">
        <v>2</v>
      </c>
      <c r="AK24" s="54"/>
      <c r="AL24" s="54"/>
      <c r="AM24" s="54">
        <v>3</v>
      </c>
      <c r="AN24" s="54"/>
      <c r="AO24" s="54"/>
      <c r="AP24" s="54">
        <v>4</v>
      </c>
      <c r="AQ24" s="54"/>
      <c r="AR24" s="54"/>
      <c r="AS24" s="54">
        <v>5</v>
      </c>
      <c r="AT24" s="54"/>
      <c r="AU24" s="54"/>
      <c r="AV24" s="12"/>
      <c r="AW24" s="114"/>
      <c r="AX24" s="115"/>
      <c r="AY24" s="115"/>
      <c r="AZ24" s="115"/>
      <c r="BA24" s="116"/>
      <c r="BB24" s="25"/>
    </row>
    <row r="25" spans="1:64" ht="12.75" customHeight="1">
      <c r="A25" s="19"/>
      <c r="B25" s="82">
        <v>1</v>
      </c>
      <c r="C25" s="82"/>
      <c r="D25" s="82"/>
      <c r="E25" s="82"/>
      <c r="F25" s="54">
        <v>0.8</v>
      </c>
      <c r="G25" s="54"/>
      <c r="H25" s="54"/>
      <c r="I25" s="101" t="s">
        <v>77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2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12"/>
      <c r="AW25" s="117">
        <f t="shared" ref="AW25:AW30" si="0">SUM(F25*(BL25-BK25-BJ25)/30)</f>
        <v>0</v>
      </c>
      <c r="AX25" s="117"/>
      <c r="AY25" s="117"/>
      <c r="AZ25" s="117"/>
      <c r="BA25" s="117"/>
      <c r="BB25" s="25"/>
      <c r="BD25" s="1">
        <f t="shared" ref="BD25:BD30" si="1">SUM(10-AG25)</f>
        <v>10</v>
      </c>
      <c r="BE25" s="1">
        <f t="shared" ref="BE25:BE30" si="2">SUM(10-AJ25)</f>
        <v>10</v>
      </c>
      <c r="BF25" s="1">
        <f t="shared" ref="BF25:BF30" si="3">SUM(10-AM25)</f>
        <v>10</v>
      </c>
      <c r="BG25" s="1">
        <f t="shared" ref="BG25:BG30" si="4">SUM(10-AP25)</f>
        <v>10</v>
      </c>
      <c r="BH25" s="1">
        <f t="shared" ref="BH25:BH30" si="5">SUM(10-AS25)</f>
        <v>10</v>
      </c>
      <c r="BI25" s="1">
        <f t="shared" ref="BI25:BI30" si="6">MAX(BD25:BH25)</f>
        <v>10</v>
      </c>
      <c r="BJ25" s="1">
        <f t="shared" ref="BJ25:BJ30" si="7">SUM(10-BI25)</f>
        <v>0</v>
      </c>
      <c r="BK25" s="1">
        <f t="shared" ref="BK25:BK30" si="8">MAX(AG25:AU25)</f>
        <v>0</v>
      </c>
      <c r="BL25" s="1">
        <f t="shared" ref="BL25:BL30" si="9">SUM(AG25:AU25)</f>
        <v>0</v>
      </c>
    </row>
    <row r="26" spans="1:64" ht="12.75" customHeight="1">
      <c r="A26" s="19"/>
      <c r="B26" s="82">
        <v>2</v>
      </c>
      <c r="C26" s="82"/>
      <c r="D26" s="82"/>
      <c r="E26" s="82"/>
      <c r="F26" s="54">
        <v>0.5</v>
      </c>
      <c r="G26" s="54"/>
      <c r="H26" s="54"/>
      <c r="I26" s="101" t="s">
        <v>78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2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12"/>
      <c r="AW26" s="117">
        <f t="shared" si="0"/>
        <v>0</v>
      </c>
      <c r="AX26" s="117"/>
      <c r="AY26" s="117"/>
      <c r="AZ26" s="117"/>
      <c r="BA26" s="117"/>
      <c r="BB26" s="25"/>
      <c r="BD26" s="1">
        <f t="shared" si="1"/>
        <v>10</v>
      </c>
      <c r="BE26" s="1">
        <f t="shared" si="2"/>
        <v>10</v>
      </c>
      <c r="BF26" s="1">
        <f t="shared" si="3"/>
        <v>10</v>
      </c>
      <c r="BG26" s="1">
        <f t="shared" si="4"/>
        <v>10</v>
      </c>
      <c r="BH26" s="1">
        <f t="shared" si="5"/>
        <v>10</v>
      </c>
      <c r="BI26" s="1">
        <f t="shared" si="6"/>
        <v>10</v>
      </c>
      <c r="BJ26" s="1">
        <f t="shared" si="7"/>
        <v>0</v>
      </c>
      <c r="BK26" s="1">
        <f t="shared" si="8"/>
        <v>0</v>
      </c>
      <c r="BL26" s="1">
        <f t="shared" si="9"/>
        <v>0</v>
      </c>
    </row>
    <row r="27" spans="1:64" ht="12.75" customHeight="1">
      <c r="A27" s="19"/>
      <c r="B27" s="82">
        <v>3</v>
      </c>
      <c r="C27" s="82"/>
      <c r="D27" s="82"/>
      <c r="E27" s="82"/>
      <c r="F27" s="54">
        <v>0.6</v>
      </c>
      <c r="G27" s="54"/>
      <c r="H27" s="54"/>
      <c r="I27" s="101" t="s">
        <v>79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2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12"/>
      <c r="AW27" s="117">
        <f t="shared" si="0"/>
        <v>0</v>
      </c>
      <c r="AX27" s="117"/>
      <c r="AY27" s="117"/>
      <c r="AZ27" s="117"/>
      <c r="BA27" s="117"/>
      <c r="BB27" s="25"/>
      <c r="BD27" s="1">
        <f t="shared" si="1"/>
        <v>10</v>
      </c>
      <c r="BE27" s="1">
        <f t="shared" si="2"/>
        <v>10</v>
      </c>
      <c r="BF27" s="1">
        <f t="shared" si="3"/>
        <v>10</v>
      </c>
      <c r="BG27" s="1">
        <f t="shared" si="4"/>
        <v>10</v>
      </c>
      <c r="BH27" s="1">
        <f t="shared" si="5"/>
        <v>10</v>
      </c>
      <c r="BI27" s="1">
        <f t="shared" si="6"/>
        <v>10</v>
      </c>
      <c r="BJ27" s="1">
        <f t="shared" si="7"/>
        <v>0</v>
      </c>
      <c r="BK27" s="1">
        <f t="shared" si="8"/>
        <v>0</v>
      </c>
      <c r="BL27" s="1">
        <f t="shared" si="9"/>
        <v>0</v>
      </c>
    </row>
    <row r="28" spans="1:64" ht="12.75" customHeight="1">
      <c r="A28" s="19"/>
      <c r="B28" s="82">
        <v>4</v>
      </c>
      <c r="C28" s="82"/>
      <c r="D28" s="82"/>
      <c r="E28" s="82"/>
      <c r="F28" s="54">
        <v>0.7</v>
      </c>
      <c r="G28" s="54"/>
      <c r="H28" s="54"/>
      <c r="I28" s="101" t="s">
        <v>80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2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12"/>
      <c r="AW28" s="117">
        <f t="shared" si="0"/>
        <v>0</v>
      </c>
      <c r="AX28" s="117"/>
      <c r="AY28" s="117"/>
      <c r="AZ28" s="117"/>
      <c r="BA28" s="117"/>
      <c r="BB28" s="25"/>
      <c r="BD28" s="1">
        <f t="shared" si="1"/>
        <v>10</v>
      </c>
      <c r="BE28" s="1">
        <f t="shared" si="2"/>
        <v>10</v>
      </c>
      <c r="BF28" s="1">
        <f t="shared" si="3"/>
        <v>10</v>
      </c>
      <c r="BG28" s="1">
        <f t="shared" si="4"/>
        <v>10</v>
      </c>
      <c r="BH28" s="1">
        <f t="shared" si="5"/>
        <v>10</v>
      </c>
      <c r="BI28" s="1">
        <f t="shared" si="6"/>
        <v>10</v>
      </c>
      <c r="BJ28" s="1">
        <f t="shared" si="7"/>
        <v>0</v>
      </c>
      <c r="BK28" s="1">
        <f t="shared" si="8"/>
        <v>0</v>
      </c>
      <c r="BL28" s="1">
        <f t="shared" si="9"/>
        <v>0</v>
      </c>
    </row>
    <row r="29" spans="1:64" ht="12.75" customHeight="1">
      <c r="A29" s="19"/>
      <c r="B29" s="82">
        <v>5</v>
      </c>
      <c r="C29" s="82"/>
      <c r="D29" s="82"/>
      <c r="E29" s="82"/>
      <c r="F29" s="54">
        <v>0.7</v>
      </c>
      <c r="G29" s="54"/>
      <c r="H29" s="54"/>
      <c r="I29" s="101" t="s">
        <v>81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2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12"/>
      <c r="AW29" s="117">
        <f t="shared" si="0"/>
        <v>0</v>
      </c>
      <c r="AX29" s="117"/>
      <c r="AY29" s="117"/>
      <c r="AZ29" s="117"/>
      <c r="BA29" s="117"/>
      <c r="BB29" s="25"/>
      <c r="BD29" s="1">
        <f t="shared" si="1"/>
        <v>10</v>
      </c>
      <c r="BE29" s="1">
        <f t="shared" si="2"/>
        <v>10</v>
      </c>
      <c r="BF29" s="1">
        <f t="shared" si="3"/>
        <v>10</v>
      </c>
      <c r="BG29" s="1">
        <f t="shared" si="4"/>
        <v>10</v>
      </c>
      <c r="BH29" s="1">
        <f t="shared" si="5"/>
        <v>10</v>
      </c>
      <c r="BI29" s="1">
        <f t="shared" si="6"/>
        <v>10</v>
      </c>
      <c r="BJ29" s="1">
        <f t="shared" si="7"/>
        <v>0</v>
      </c>
      <c r="BK29" s="1">
        <f t="shared" si="8"/>
        <v>0</v>
      </c>
      <c r="BL29" s="1">
        <f t="shared" si="9"/>
        <v>0</v>
      </c>
    </row>
    <row r="30" spans="1:64" ht="12.75" customHeight="1">
      <c r="A30" s="19"/>
      <c r="B30" s="82">
        <v>6</v>
      </c>
      <c r="C30" s="82"/>
      <c r="D30" s="82"/>
      <c r="E30" s="82"/>
      <c r="F30" s="54"/>
      <c r="G30" s="54"/>
      <c r="H30" s="54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2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12"/>
      <c r="AW30" s="117">
        <f t="shared" si="0"/>
        <v>0</v>
      </c>
      <c r="AX30" s="117"/>
      <c r="AY30" s="117"/>
      <c r="AZ30" s="117"/>
      <c r="BA30" s="117"/>
      <c r="BB30" s="25"/>
      <c r="BD30" s="1">
        <f t="shared" si="1"/>
        <v>10</v>
      </c>
      <c r="BE30" s="1">
        <f t="shared" si="2"/>
        <v>10</v>
      </c>
      <c r="BF30" s="1">
        <f t="shared" si="3"/>
        <v>10</v>
      </c>
      <c r="BG30" s="1">
        <f t="shared" si="4"/>
        <v>10</v>
      </c>
      <c r="BH30" s="1">
        <f t="shared" si="5"/>
        <v>10</v>
      </c>
      <c r="BI30" s="1">
        <f t="shared" si="6"/>
        <v>10</v>
      </c>
      <c r="BJ30" s="1">
        <f t="shared" si="7"/>
        <v>0</v>
      </c>
      <c r="BK30" s="1">
        <f t="shared" si="8"/>
        <v>0</v>
      </c>
      <c r="BL30" s="1">
        <f t="shared" si="9"/>
        <v>0</v>
      </c>
    </row>
    <row r="31" spans="1:64" ht="12.75" customHeight="1">
      <c r="A31" s="19"/>
      <c r="B31" s="82"/>
      <c r="C31" s="82"/>
      <c r="D31" s="82"/>
      <c r="E31" s="82"/>
      <c r="F31" s="54"/>
      <c r="G31" s="54"/>
      <c r="H31" s="54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2"/>
      <c r="AG31" s="102"/>
      <c r="AH31" s="69"/>
      <c r="AI31" s="103"/>
      <c r="AJ31" s="102"/>
      <c r="AK31" s="69"/>
      <c r="AL31" s="103"/>
      <c r="AM31" s="102"/>
      <c r="AN31" s="69"/>
      <c r="AO31" s="103"/>
      <c r="AP31" s="102"/>
      <c r="AQ31" s="69"/>
      <c r="AR31" s="103"/>
      <c r="AS31" s="102"/>
      <c r="AT31" s="69"/>
      <c r="AU31" s="103"/>
      <c r="AV31" s="12"/>
      <c r="AW31" s="54">
        <f>SUM(AG31:AU31)/5</f>
        <v>0</v>
      </c>
      <c r="AX31" s="54"/>
      <c r="AY31" s="54"/>
      <c r="AZ31" s="54"/>
      <c r="BA31" s="54"/>
      <c r="BB31" s="25"/>
    </row>
    <row r="32" spans="1:64" ht="12.75" customHeight="1">
      <c r="A32" s="19"/>
      <c r="B32" s="82"/>
      <c r="C32" s="82"/>
      <c r="D32" s="82"/>
      <c r="E32" s="82"/>
      <c r="F32" s="54"/>
      <c r="G32" s="54"/>
      <c r="H32" s="54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2"/>
      <c r="AG32" s="104"/>
      <c r="AH32" s="51"/>
      <c r="AI32" s="105"/>
      <c r="AJ32" s="104"/>
      <c r="AK32" s="51"/>
      <c r="AL32" s="105"/>
      <c r="AM32" s="104"/>
      <c r="AN32" s="51"/>
      <c r="AO32" s="105"/>
      <c r="AP32" s="104"/>
      <c r="AQ32" s="51"/>
      <c r="AR32" s="105"/>
      <c r="AS32" s="104"/>
      <c r="AT32" s="51"/>
      <c r="AU32" s="105"/>
      <c r="AV32" s="12"/>
      <c r="AW32" s="54">
        <f>SUM(AG32:AU32)/5</f>
        <v>0</v>
      </c>
      <c r="AX32" s="54"/>
      <c r="AY32" s="54"/>
      <c r="AZ32" s="54"/>
      <c r="BA32" s="54"/>
      <c r="BB32" s="25"/>
    </row>
    <row r="33" spans="1:54" ht="12.75" customHeight="1">
      <c r="A33" s="19"/>
      <c r="B33" s="82"/>
      <c r="C33" s="82"/>
      <c r="D33" s="82"/>
      <c r="E33" s="82"/>
      <c r="F33" s="54"/>
      <c r="G33" s="54"/>
      <c r="H33" s="54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2"/>
      <c r="AG33" s="104"/>
      <c r="AH33" s="51"/>
      <c r="AI33" s="105"/>
      <c r="AJ33" s="104"/>
      <c r="AK33" s="51"/>
      <c r="AL33" s="105"/>
      <c r="AM33" s="104"/>
      <c r="AN33" s="51"/>
      <c r="AO33" s="105"/>
      <c r="AP33" s="104"/>
      <c r="AQ33" s="51"/>
      <c r="AR33" s="105"/>
      <c r="AS33" s="104"/>
      <c r="AT33" s="51"/>
      <c r="AU33" s="105"/>
      <c r="AV33" s="12"/>
      <c r="AW33" s="54"/>
      <c r="AX33" s="54"/>
      <c r="AY33" s="54"/>
      <c r="AZ33" s="54"/>
      <c r="BA33" s="54"/>
      <c r="BB33" s="25"/>
    </row>
    <row r="34" spans="1:54" ht="12.75" customHeight="1">
      <c r="A34" s="19"/>
      <c r="B34" s="82"/>
      <c r="C34" s="82"/>
      <c r="D34" s="82"/>
      <c r="E34" s="82"/>
      <c r="F34" s="54"/>
      <c r="G34" s="54"/>
      <c r="H34" s="54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2"/>
      <c r="AG34" s="104"/>
      <c r="AH34" s="51"/>
      <c r="AI34" s="105"/>
      <c r="AJ34" s="104"/>
      <c r="AK34" s="51"/>
      <c r="AL34" s="105"/>
      <c r="AM34" s="104"/>
      <c r="AN34" s="51"/>
      <c r="AO34" s="105"/>
      <c r="AP34" s="104"/>
      <c r="AQ34" s="51"/>
      <c r="AR34" s="105"/>
      <c r="AS34" s="104"/>
      <c r="AT34" s="51"/>
      <c r="AU34" s="105"/>
      <c r="AV34" s="12"/>
      <c r="AW34" s="54"/>
      <c r="AX34" s="54"/>
      <c r="AY34" s="54"/>
      <c r="AZ34" s="54"/>
      <c r="BA34" s="54"/>
      <c r="BB34" s="25"/>
    </row>
    <row r="35" spans="1:54" ht="12.75" customHeight="1">
      <c r="A35" s="19"/>
      <c r="B35" s="82"/>
      <c r="C35" s="82"/>
      <c r="D35" s="82"/>
      <c r="E35" s="82"/>
      <c r="F35" s="54"/>
      <c r="G35" s="54"/>
      <c r="H35" s="54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2"/>
      <c r="AG35" s="106"/>
      <c r="AH35" s="70"/>
      <c r="AI35" s="107"/>
      <c r="AJ35" s="106"/>
      <c r="AK35" s="70"/>
      <c r="AL35" s="107"/>
      <c r="AM35" s="106"/>
      <c r="AN35" s="70"/>
      <c r="AO35" s="107"/>
      <c r="AP35" s="106"/>
      <c r="AQ35" s="70"/>
      <c r="AR35" s="107"/>
      <c r="AS35" s="106"/>
      <c r="AT35" s="70"/>
      <c r="AU35" s="107"/>
      <c r="AV35" s="12"/>
      <c r="AW35" s="54"/>
      <c r="AX35" s="54"/>
      <c r="AY35" s="54"/>
      <c r="AZ35" s="54"/>
      <c r="BA35" s="54"/>
      <c r="BB35" s="25"/>
    </row>
    <row r="36" spans="1:54" ht="12.75" customHeight="1">
      <c r="A36" s="19"/>
      <c r="B36" s="82"/>
      <c r="C36" s="82"/>
      <c r="D36" s="82"/>
      <c r="E36" s="82"/>
      <c r="F36" s="54"/>
      <c r="G36" s="54"/>
      <c r="H36" s="54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2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12"/>
      <c r="AW36" s="54"/>
      <c r="AX36" s="54"/>
      <c r="AY36" s="54"/>
      <c r="AZ36" s="54"/>
      <c r="BA36" s="54"/>
      <c r="BB36" s="25"/>
    </row>
    <row r="37" spans="1:54" ht="12.75" customHeight="1">
      <c r="A37" s="19"/>
      <c r="B37" s="82"/>
      <c r="C37" s="82"/>
      <c r="D37" s="82"/>
      <c r="E37" s="82"/>
      <c r="F37" s="54"/>
      <c r="G37" s="54"/>
      <c r="H37" s="54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2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12"/>
      <c r="AW37" s="54"/>
      <c r="AX37" s="54"/>
      <c r="AY37" s="54"/>
      <c r="AZ37" s="54"/>
      <c r="BA37" s="54"/>
      <c r="BB37" s="25"/>
    </row>
    <row r="38" spans="1:54" ht="12.75" customHeight="1">
      <c r="A38" s="19"/>
      <c r="B38" s="82"/>
      <c r="C38" s="82"/>
      <c r="D38" s="82"/>
      <c r="E38" s="82"/>
      <c r="F38" s="54"/>
      <c r="G38" s="54"/>
      <c r="H38" s="54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2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12"/>
      <c r="AW38" s="54"/>
      <c r="AX38" s="54"/>
      <c r="AY38" s="54"/>
      <c r="AZ38" s="54"/>
      <c r="BA38" s="54"/>
      <c r="BB38" s="25"/>
    </row>
    <row r="39" spans="1:54" ht="12.75" customHeight="1">
      <c r="A39" s="19"/>
      <c r="B39" s="82"/>
      <c r="C39" s="82"/>
      <c r="D39" s="82"/>
      <c r="E39" s="82"/>
      <c r="F39" s="54"/>
      <c r="G39" s="54"/>
      <c r="H39" s="54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2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12"/>
      <c r="AW39" s="54"/>
      <c r="AX39" s="54"/>
      <c r="AY39" s="54"/>
      <c r="AZ39" s="54"/>
      <c r="BA39" s="54"/>
      <c r="BB39" s="25"/>
    </row>
    <row r="40" spans="1:54" ht="12.75" customHeight="1">
      <c r="A40" s="19"/>
      <c r="B40" s="82"/>
      <c r="C40" s="82"/>
      <c r="D40" s="82"/>
      <c r="E40" s="82"/>
      <c r="F40" s="54"/>
      <c r="G40" s="54"/>
      <c r="H40" s="54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2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12"/>
      <c r="AW40" s="54"/>
      <c r="AX40" s="54"/>
      <c r="AY40" s="54"/>
      <c r="AZ40" s="54"/>
      <c r="BA40" s="54"/>
      <c r="BB40" s="25"/>
    </row>
    <row r="41" spans="1:54" ht="12.75" customHeight="1">
      <c r="A41" s="19"/>
      <c r="B41" s="82"/>
      <c r="C41" s="82"/>
      <c r="D41" s="82"/>
      <c r="E41" s="82"/>
      <c r="F41" s="54"/>
      <c r="G41" s="54"/>
      <c r="H41" s="54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2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12"/>
      <c r="AW41" s="54"/>
      <c r="AX41" s="54"/>
      <c r="AY41" s="54"/>
      <c r="AZ41" s="54"/>
      <c r="BA41" s="54"/>
      <c r="BB41" s="25"/>
    </row>
    <row r="42" spans="1:54" ht="12.75" customHeight="1">
      <c r="A42" s="19"/>
      <c r="B42" s="82"/>
      <c r="C42" s="82"/>
      <c r="D42" s="82"/>
      <c r="E42" s="82"/>
      <c r="F42" s="54"/>
      <c r="G42" s="54"/>
      <c r="H42" s="54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2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12"/>
      <c r="AW42" s="54"/>
      <c r="AX42" s="54"/>
      <c r="AY42" s="54"/>
      <c r="AZ42" s="54"/>
      <c r="BA42" s="54"/>
      <c r="BB42" s="25"/>
    </row>
    <row r="43" spans="1:54" ht="12.75" customHeight="1">
      <c r="A43" s="19"/>
      <c r="B43" s="82"/>
      <c r="C43" s="82"/>
      <c r="D43" s="82"/>
      <c r="E43" s="82"/>
      <c r="F43" s="54"/>
      <c r="G43" s="54"/>
      <c r="H43" s="54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2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12"/>
      <c r="AW43" s="54"/>
      <c r="AX43" s="54"/>
      <c r="AY43" s="54"/>
      <c r="AZ43" s="54"/>
      <c r="BA43" s="54"/>
      <c r="BB43" s="25"/>
    </row>
    <row r="44" spans="1:54" ht="12.75" customHeight="1">
      <c r="A44" s="19"/>
      <c r="B44" s="82"/>
      <c r="C44" s="82"/>
      <c r="D44" s="82"/>
      <c r="E44" s="82"/>
      <c r="F44" s="54"/>
      <c r="G44" s="54"/>
      <c r="H44" s="54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2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12"/>
      <c r="AW44" s="54"/>
      <c r="AX44" s="54"/>
      <c r="AY44" s="54"/>
      <c r="AZ44" s="54"/>
      <c r="BA44" s="54"/>
      <c r="BB44" s="25"/>
    </row>
    <row r="45" spans="1:54" ht="12.75" customHeight="1">
      <c r="A45" s="19"/>
      <c r="B45" s="82"/>
      <c r="C45" s="82"/>
      <c r="D45" s="82"/>
      <c r="E45" s="82"/>
      <c r="F45" s="54"/>
      <c r="G45" s="54"/>
      <c r="H45" s="54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2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12"/>
      <c r="AW45" s="54"/>
      <c r="AX45" s="54"/>
      <c r="AY45" s="54"/>
      <c r="AZ45" s="54"/>
      <c r="BA45" s="54"/>
      <c r="BB45" s="25"/>
    </row>
    <row r="46" spans="1:54" ht="12.75" customHeight="1">
      <c r="A46" s="19"/>
      <c r="B46" s="82"/>
      <c r="C46" s="82"/>
      <c r="D46" s="82"/>
      <c r="E46" s="82"/>
      <c r="F46" s="54"/>
      <c r="G46" s="54"/>
      <c r="H46" s="54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2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12"/>
      <c r="AW46" s="54"/>
      <c r="AX46" s="54"/>
      <c r="AY46" s="54"/>
      <c r="AZ46" s="54"/>
      <c r="BA46" s="54"/>
      <c r="BB46" s="25"/>
    </row>
    <row r="47" spans="1:54" ht="12.75" customHeight="1">
      <c r="A47" s="19"/>
      <c r="B47" s="82"/>
      <c r="C47" s="82"/>
      <c r="D47" s="82"/>
      <c r="E47" s="82"/>
      <c r="F47" s="54"/>
      <c r="G47" s="54"/>
      <c r="H47" s="54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2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12"/>
      <c r="AW47" s="54"/>
      <c r="AX47" s="54"/>
      <c r="AY47" s="54"/>
      <c r="AZ47" s="54"/>
      <c r="BA47" s="54"/>
      <c r="BB47" s="25"/>
    </row>
    <row r="48" spans="1:54" ht="12.75" customHeight="1">
      <c r="A48" s="19"/>
      <c r="B48" s="82"/>
      <c r="C48" s="82"/>
      <c r="D48" s="82"/>
      <c r="E48" s="82"/>
      <c r="F48" s="54"/>
      <c r="G48" s="54"/>
      <c r="H48" s="54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2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12"/>
      <c r="AW48" s="54"/>
      <c r="AX48" s="54"/>
      <c r="AY48" s="54"/>
      <c r="AZ48" s="54"/>
      <c r="BA48" s="54"/>
      <c r="BB48" s="25"/>
    </row>
    <row r="49" spans="1:54" ht="12.75" customHeight="1">
      <c r="A49" s="19"/>
      <c r="B49" s="82"/>
      <c r="C49" s="82"/>
      <c r="D49" s="82"/>
      <c r="E49" s="82"/>
      <c r="F49" s="54"/>
      <c r="G49" s="54"/>
      <c r="H49" s="54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2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12"/>
      <c r="AW49" s="54"/>
      <c r="AX49" s="54"/>
      <c r="AY49" s="54"/>
      <c r="AZ49" s="54"/>
      <c r="BA49" s="54"/>
      <c r="BB49" s="25"/>
    </row>
    <row r="50" spans="1:54" ht="12.75" customHeight="1">
      <c r="A50" s="19"/>
      <c r="B50" s="82"/>
      <c r="C50" s="82"/>
      <c r="D50" s="82"/>
      <c r="E50" s="82"/>
      <c r="F50" s="54"/>
      <c r="G50" s="54"/>
      <c r="H50" s="54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2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12"/>
      <c r="AW50" s="54"/>
      <c r="AX50" s="54"/>
      <c r="AY50" s="54"/>
      <c r="AZ50" s="54"/>
      <c r="BA50" s="54"/>
      <c r="BB50" s="25"/>
    </row>
    <row r="51" spans="1:54" ht="12.75" customHeight="1">
      <c r="A51" s="19"/>
      <c r="B51" s="82"/>
      <c r="C51" s="82"/>
      <c r="D51" s="82"/>
      <c r="E51" s="82"/>
      <c r="F51" s="54"/>
      <c r="G51" s="54"/>
      <c r="H51" s="54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2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12"/>
      <c r="AW51" s="54"/>
      <c r="AX51" s="54"/>
      <c r="AY51" s="54"/>
      <c r="AZ51" s="54"/>
      <c r="BA51" s="54"/>
      <c r="BB51" s="25"/>
    </row>
    <row r="52" spans="1:54" ht="12.75" customHeight="1">
      <c r="A52" s="19"/>
      <c r="B52" s="82"/>
      <c r="C52" s="82"/>
      <c r="D52" s="82"/>
      <c r="E52" s="82"/>
      <c r="F52" s="54"/>
      <c r="G52" s="54"/>
      <c r="H52" s="54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2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12"/>
      <c r="AW52" s="54"/>
      <c r="AX52" s="54"/>
      <c r="AY52" s="54"/>
      <c r="AZ52" s="54"/>
      <c r="BA52" s="54"/>
      <c r="BB52" s="25"/>
    </row>
    <row r="53" spans="1:54" ht="8.1" customHeight="1">
      <c r="A53" s="19"/>
      <c r="B53" s="2"/>
      <c r="C53" s="2"/>
      <c r="D53" s="2"/>
      <c r="E53" s="2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33"/>
      <c r="AX53" s="33"/>
      <c r="AY53" s="33"/>
      <c r="AZ53" s="33"/>
      <c r="BA53" s="33"/>
      <c r="BB53" s="25"/>
    </row>
    <row r="54" spans="1:54" ht="2.1" customHeight="1">
      <c r="A54" s="19"/>
      <c r="B54" s="2"/>
      <c r="C54" s="2"/>
      <c r="D54" s="2"/>
      <c r="E54" s="2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7"/>
      <c r="AX54" s="27"/>
      <c r="AY54" s="27"/>
      <c r="AZ54" s="27"/>
      <c r="BA54" s="27"/>
      <c r="BB54" s="22"/>
    </row>
    <row r="55" spans="1:54" s="35" customFormat="1" ht="8.1" customHeight="1">
      <c r="A55" s="34"/>
      <c r="B55" s="10"/>
      <c r="C55" s="10"/>
      <c r="D55" s="10"/>
      <c r="E55" s="10"/>
      <c r="F55" s="92">
        <f>SUM(F25:H52)</f>
        <v>3.3</v>
      </c>
      <c r="G55" s="92"/>
      <c r="H55" s="92"/>
      <c r="I55" s="91" t="s">
        <v>66</v>
      </c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10"/>
      <c r="AG55" s="10"/>
      <c r="AH55" s="10"/>
      <c r="AI55" s="10"/>
      <c r="AJ55" s="10"/>
      <c r="AK55" s="10"/>
      <c r="AL55" s="10"/>
      <c r="AM55" s="10"/>
      <c r="AN55" s="50" t="s">
        <v>59</v>
      </c>
      <c r="AO55" s="50"/>
      <c r="AP55" s="50"/>
      <c r="AQ55" s="50"/>
      <c r="AR55" s="50"/>
      <c r="AS55" s="50"/>
      <c r="AT55" s="50"/>
      <c r="AU55" s="50"/>
      <c r="AV55" s="10"/>
      <c r="AW55" s="125">
        <f>SUM(AW25:BA30)</f>
        <v>0</v>
      </c>
      <c r="AX55" s="92"/>
      <c r="AY55" s="92"/>
      <c r="AZ55" s="92"/>
      <c r="BA55" s="92"/>
      <c r="BB55" s="36"/>
    </row>
    <row r="56" spans="1:54" s="35" customFormat="1" ht="8.1" customHeight="1">
      <c r="A56" s="34"/>
      <c r="B56" s="10"/>
      <c r="C56" s="10"/>
      <c r="D56" s="10"/>
      <c r="E56" s="10"/>
      <c r="F56" s="93"/>
      <c r="G56" s="93"/>
      <c r="H56" s="93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10"/>
      <c r="AG56" s="10"/>
      <c r="AH56" s="10"/>
      <c r="AI56" s="10"/>
      <c r="AJ56" s="10"/>
      <c r="AK56" s="10"/>
      <c r="AL56" s="10"/>
      <c r="AM56" s="10"/>
      <c r="AN56" s="50"/>
      <c r="AO56" s="50"/>
      <c r="AP56" s="50"/>
      <c r="AQ56" s="50"/>
      <c r="AR56" s="50"/>
      <c r="AS56" s="50"/>
      <c r="AT56" s="50"/>
      <c r="AU56" s="50"/>
      <c r="AV56" s="10"/>
      <c r="AW56" s="93"/>
      <c r="AX56" s="93"/>
      <c r="AY56" s="93"/>
      <c r="AZ56" s="93"/>
      <c r="BA56" s="93"/>
      <c r="BB56" s="38"/>
    </row>
    <row r="57" spans="1:54" s="35" customFormat="1" ht="2.1" customHeight="1">
      <c r="A57" s="34"/>
      <c r="B57" s="10"/>
      <c r="C57" s="10"/>
      <c r="D57" s="10"/>
      <c r="E57" s="10"/>
      <c r="F57" s="37"/>
      <c r="G57" s="37"/>
      <c r="H57" s="3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37"/>
      <c r="AX57" s="37"/>
      <c r="AY57" s="37"/>
      <c r="AZ57" s="37"/>
      <c r="BA57" s="37"/>
      <c r="BB57" s="36"/>
    </row>
    <row r="58" spans="1:54" s="35" customFormat="1" ht="8.1" customHeight="1">
      <c r="A58" s="34"/>
      <c r="B58" s="10"/>
      <c r="C58" s="10"/>
      <c r="D58" s="10"/>
      <c r="E58" s="10"/>
      <c r="F58" s="39"/>
      <c r="G58" s="39"/>
      <c r="H58" s="3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38"/>
    </row>
    <row r="59" spans="1:54" s="35" customFormat="1" ht="8.1" customHeight="1">
      <c r="A59" s="34"/>
      <c r="B59" s="91" t="s">
        <v>60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36"/>
    </row>
    <row r="60" spans="1:54" s="35" customFormat="1" ht="8.1" customHeight="1">
      <c r="A60" s="34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38"/>
    </row>
    <row r="61" spans="1:54" s="35" customFormat="1" ht="11.25" customHeight="1">
      <c r="A61" s="34"/>
      <c r="B61" s="62" t="s">
        <v>61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11"/>
      <c r="S61" s="62" t="s">
        <v>24</v>
      </c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40"/>
    </row>
    <row r="62" spans="1:54" s="35" customFormat="1" ht="8.1" customHeight="1">
      <c r="A62" s="3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1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11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41"/>
    </row>
    <row r="63" spans="1:54" s="35" customFormat="1" ht="8.1" customHeight="1">
      <c r="A63" s="34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11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11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40"/>
    </row>
    <row r="64" spans="1:54" s="35" customFormat="1" ht="8.1" customHeight="1">
      <c r="A64" s="3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41"/>
    </row>
    <row r="65" spans="1:54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2" t="s">
        <v>62</v>
      </c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40"/>
    </row>
    <row r="66" spans="1:54" ht="8.1" customHeight="1">
      <c r="A66" s="19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41"/>
    </row>
    <row r="67" spans="1:54" ht="8.1" customHeight="1">
      <c r="A67" s="1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42"/>
    </row>
    <row r="68" spans="1:54" ht="8.1" customHeight="1">
      <c r="A68" s="19"/>
      <c r="B68" s="89" t="s">
        <v>68</v>
      </c>
      <c r="C68" s="89"/>
      <c r="D68" s="89"/>
      <c r="E68" s="89"/>
      <c r="F68" s="89"/>
      <c r="G68" s="8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43"/>
    </row>
    <row r="69" spans="1:54" ht="8.1" customHeight="1">
      <c r="A69" s="26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5"/>
    </row>
  </sheetData>
  <mergeCells count="278">
    <mergeCell ref="B68:G68"/>
    <mergeCell ref="AP68:BA68"/>
    <mergeCell ref="AK62:BA62"/>
    <mergeCell ref="AK63:BA63"/>
    <mergeCell ref="AK64:BA64"/>
    <mergeCell ref="S65:AA66"/>
    <mergeCell ref="AB65:AI66"/>
    <mergeCell ref="AN55:AU56"/>
    <mergeCell ref="AW55:BA56"/>
    <mergeCell ref="B59:AE60"/>
    <mergeCell ref="B61:Q61"/>
    <mergeCell ref="S61:AI61"/>
    <mergeCell ref="F55:H56"/>
    <mergeCell ref="I55:AE56"/>
    <mergeCell ref="B62:Q63"/>
    <mergeCell ref="S62:AI63"/>
    <mergeCell ref="AW52:BA52"/>
    <mergeCell ref="AS52:AU52"/>
    <mergeCell ref="B52:E52"/>
    <mergeCell ref="F52:H52"/>
    <mergeCell ref="I52:AE52"/>
    <mergeCell ref="AG52:AI52"/>
    <mergeCell ref="AJ52:AL52"/>
    <mergeCell ref="AM52:AO52"/>
    <mergeCell ref="AP52:AR52"/>
    <mergeCell ref="AW51:BA51"/>
    <mergeCell ref="B50:E50"/>
    <mergeCell ref="F50:H50"/>
    <mergeCell ref="B51:E51"/>
    <mergeCell ref="F51:H51"/>
    <mergeCell ref="I51:AE51"/>
    <mergeCell ref="I50:AE50"/>
    <mergeCell ref="AS50:AU50"/>
    <mergeCell ref="AG51:AI51"/>
    <mergeCell ref="AJ51:AL51"/>
    <mergeCell ref="AW50:BA50"/>
    <mergeCell ref="AG50:AI50"/>
    <mergeCell ref="AJ50:AL50"/>
    <mergeCell ref="AM51:AO51"/>
    <mergeCell ref="AP51:AR51"/>
    <mergeCell ref="AS51:AU51"/>
    <mergeCell ref="AM50:AO50"/>
    <mergeCell ref="AP50:AR50"/>
    <mergeCell ref="AW48:BA48"/>
    <mergeCell ref="AW49:BA49"/>
    <mergeCell ref="AS48:AU48"/>
    <mergeCell ref="AS49:AU49"/>
    <mergeCell ref="B48:E48"/>
    <mergeCell ref="F48:H48"/>
    <mergeCell ref="I48:AE48"/>
    <mergeCell ref="AG48:AI48"/>
    <mergeCell ref="AJ48:AL48"/>
    <mergeCell ref="AM48:AO48"/>
    <mergeCell ref="B49:E49"/>
    <mergeCell ref="F49:H49"/>
    <mergeCell ref="I49:AE49"/>
    <mergeCell ref="AG49:AI49"/>
    <mergeCell ref="AJ49:AL49"/>
    <mergeCell ref="AM49:AO49"/>
    <mergeCell ref="AP49:AR49"/>
    <mergeCell ref="AP48:AR48"/>
    <mergeCell ref="AW47:BA47"/>
    <mergeCell ref="B46:E46"/>
    <mergeCell ref="F46:H46"/>
    <mergeCell ref="B47:E47"/>
    <mergeCell ref="F47:H47"/>
    <mergeCell ref="I47:AE47"/>
    <mergeCell ref="I46:AE46"/>
    <mergeCell ref="AS46:AU46"/>
    <mergeCell ref="AG47:AI47"/>
    <mergeCell ref="AJ47:AL47"/>
    <mergeCell ref="AW46:BA46"/>
    <mergeCell ref="AG46:AI46"/>
    <mergeCell ref="AJ46:AL46"/>
    <mergeCell ref="AM46:AO46"/>
    <mergeCell ref="AS47:AU47"/>
    <mergeCell ref="AP46:AR46"/>
    <mergeCell ref="AM47:AO47"/>
    <mergeCell ref="AP47:AR47"/>
    <mergeCell ref="B45:E45"/>
    <mergeCell ref="F45:H45"/>
    <mergeCell ref="I45:AE45"/>
    <mergeCell ref="AG45:AI45"/>
    <mergeCell ref="AJ45:AL45"/>
    <mergeCell ref="AM45:AO45"/>
    <mergeCell ref="AP45:AR45"/>
    <mergeCell ref="AW44:BA44"/>
    <mergeCell ref="AW45:BA45"/>
    <mergeCell ref="AS44:AU44"/>
    <mergeCell ref="AS45:AU45"/>
    <mergeCell ref="B44:E44"/>
    <mergeCell ref="F44:H44"/>
    <mergeCell ref="I44:AE44"/>
    <mergeCell ref="AG44:AI44"/>
    <mergeCell ref="AJ44:AL44"/>
    <mergeCell ref="AM44:AO44"/>
    <mergeCell ref="AP44:AR44"/>
    <mergeCell ref="AW43:BA43"/>
    <mergeCell ref="B42:E42"/>
    <mergeCell ref="F42:H42"/>
    <mergeCell ref="B43:E43"/>
    <mergeCell ref="F43:H43"/>
    <mergeCell ref="I43:AE43"/>
    <mergeCell ref="I42:AE42"/>
    <mergeCell ref="AS42:AU42"/>
    <mergeCell ref="AG43:AI43"/>
    <mergeCell ref="AJ43:AL43"/>
    <mergeCell ref="AW42:BA42"/>
    <mergeCell ref="AM43:AO43"/>
    <mergeCell ref="AP43:AR43"/>
    <mergeCell ref="AS43:AU43"/>
    <mergeCell ref="AG42:AI42"/>
    <mergeCell ref="AJ42:AL42"/>
    <mergeCell ref="AM42:AO42"/>
    <mergeCell ref="AP42:AR42"/>
    <mergeCell ref="B41:E41"/>
    <mergeCell ref="F41:H41"/>
    <mergeCell ref="I41:AE41"/>
    <mergeCell ref="AG41:AI41"/>
    <mergeCell ref="AJ41:AL41"/>
    <mergeCell ref="AM41:AO41"/>
    <mergeCell ref="AP41:AR41"/>
    <mergeCell ref="AW40:BA40"/>
    <mergeCell ref="AW41:BA41"/>
    <mergeCell ref="AS40:AU40"/>
    <mergeCell ref="AS41:AU41"/>
    <mergeCell ref="B40:E40"/>
    <mergeCell ref="F40:H40"/>
    <mergeCell ref="I40:AE40"/>
    <mergeCell ref="AG40:AI40"/>
    <mergeCell ref="AJ40:AL40"/>
    <mergeCell ref="AM40:AO40"/>
    <mergeCell ref="AP40:AR40"/>
    <mergeCell ref="AW39:BA39"/>
    <mergeCell ref="B38:E38"/>
    <mergeCell ref="F38:H38"/>
    <mergeCell ref="B39:E39"/>
    <mergeCell ref="F39:H39"/>
    <mergeCell ref="I39:AE39"/>
    <mergeCell ref="I38:AE38"/>
    <mergeCell ref="AS38:AU38"/>
    <mergeCell ref="AG39:AI39"/>
    <mergeCell ref="AJ39:AL39"/>
    <mergeCell ref="AM39:AO39"/>
    <mergeCell ref="AP39:AR39"/>
    <mergeCell ref="AS39:AU39"/>
    <mergeCell ref="AW34:BA34"/>
    <mergeCell ref="AW38:BA38"/>
    <mergeCell ref="B37:E37"/>
    <mergeCell ref="F37:H37"/>
    <mergeCell ref="I37:AE37"/>
    <mergeCell ref="AG37:AI37"/>
    <mergeCell ref="AJ37:AL37"/>
    <mergeCell ref="AM37:AO37"/>
    <mergeCell ref="AP37:AR37"/>
    <mergeCell ref="AW36:BA36"/>
    <mergeCell ref="AW37:BA37"/>
    <mergeCell ref="AS36:AU36"/>
    <mergeCell ref="AS37:AU37"/>
    <mergeCell ref="B36:E36"/>
    <mergeCell ref="F36:H36"/>
    <mergeCell ref="I36:AE36"/>
    <mergeCell ref="AG36:AI36"/>
    <mergeCell ref="AJ36:AL36"/>
    <mergeCell ref="AM36:AO36"/>
    <mergeCell ref="AG38:AI38"/>
    <mergeCell ref="AJ38:AL38"/>
    <mergeCell ref="AM38:AO38"/>
    <mergeCell ref="AP38:AR38"/>
    <mergeCell ref="AP36:AR36"/>
    <mergeCell ref="AW31:BA31"/>
    <mergeCell ref="B30:E30"/>
    <mergeCell ref="F30:H30"/>
    <mergeCell ref="B31:E31"/>
    <mergeCell ref="F31:H31"/>
    <mergeCell ref="I31:AE31"/>
    <mergeCell ref="I30:AE30"/>
    <mergeCell ref="AS30:AU30"/>
    <mergeCell ref="AP30:AR30"/>
    <mergeCell ref="AP31:AR35"/>
    <mergeCell ref="B33:E33"/>
    <mergeCell ref="F33:H33"/>
    <mergeCell ref="I33:AE33"/>
    <mergeCell ref="AW32:BA32"/>
    <mergeCell ref="AW33:BA33"/>
    <mergeCell ref="B32:E32"/>
    <mergeCell ref="F32:H32"/>
    <mergeCell ref="I32:AE32"/>
    <mergeCell ref="AS31:AU35"/>
    <mergeCell ref="AW35:BA35"/>
    <mergeCell ref="B34:E34"/>
    <mergeCell ref="F34:H34"/>
    <mergeCell ref="B35:E35"/>
    <mergeCell ref="F35:H35"/>
    <mergeCell ref="AW30:BA30"/>
    <mergeCell ref="B29:E29"/>
    <mergeCell ref="F29:H29"/>
    <mergeCell ref="I29:AE29"/>
    <mergeCell ref="AM29:AO29"/>
    <mergeCell ref="AM30:AO30"/>
    <mergeCell ref="AP29:AR29"/>
    <mergeCell ref="AW28:BA28"/>
    <mergeCell ref="AW29:BA29"/>
    <mergeCell ref="AM28:AO28"/>
    <mergeCell ref="AP28:AR28"/>
    <mergeCell ref="AS28:AU28"/>
    <mergeCell ref="AS29:AU29"/>
    <mergeCell ref="AG28:AI28"/>
    <mergeCell ref="AG29:AI29"/>
    <mergeCell ref="AG30:AI30"/>
    <mergeCell ref="AJ30:AL30"/>
    <mergeCell ref="AJ29:AL29"/>
    <mergeCell ref="AJ28:AL28"/>
    <mergeCell ref="AW27:BA27"/>
    <mergeCell ref="B26:E26"/>
    <mergeCell ref="F26:H26"/>
    <mergeCell ref="B27:E27"/>
    <mergeCell ref="F27:H27"/>
    <mergeCell ref="I27:AE27"/>
    <mergeCell ref="I26:AE26"/>
    <mergeCell ref="AW26:BA26"/>
    <mergeCell ref="AS26:AU26"/>
    <mergeCell ref="AG27:AI27"/>
    <mergeCell ref="AP27:AR27"/>
    <mergeCell ref="AW25:BA25"/>
    <mergeCell ref="AS25:AU25"/>
    <mergeCell ref="B19:K20"/>
    <mergeCell ref="M19:BA20"/>
    <mergeCell ref="B16:K17"/>
    <mergeCell ref="L16:N17"/>
    <mergeCell ref="P16:Z17"/>
    <mergeCell ref="AB16:AQ17"/>
    <mergeCell ref="AX16:BA17"/>
    <mergeCell ref="B25:E25"/>
    <mergeCell ref="F25:H25"/>
    <mergeCell ref="I25:AE25"/>
    <mergeCell ref="AG25:AI25"/>
    <mergeCell ref="AJ25:AL25"/>
    <mergeCell ref="AM25:AO25"/>
    <mergeCell ref="AJ24:AL24"/>
    <mergeCell ref="AM24:AO24"/>
    <mergeCell ref="AP24:AR24"/>
    <mergeCell ref="AS24:AU24"/>
    <mergeCell ref="AS16:AW17"/>
    <mergeCell ref="AW22:BA24"/>
    <mergeCell ref="AG24:AI24"/>
    <mergeCell ref="I22:AE24"/>
    <mergeCell ref="F22:H24"/>
    <mergeCell ref="M6:AS8"/>
    <mergeCell ref="AX10:BA11"/>
    <mergeCell ref="B13:H14"/>
    <mergeCell ref="J13:K14"/>
    <mergeCell ref="L13:M14"/>
    <mergeCell ref="P13:S14"/>
    <mergeCell ref="U13:AK14"/>
    <mergeCell ref="AX13:BA14"/>
    <mergeCell ref="C2:L11"/>
    <mergeCell ref="M3:AS5"/>
    <mergeCell ref="AM10:AW11"/>
    <mergeCell ref="AM13:AW14"/>
    <mergeCell ref="AG31:AI35"/>
    <mergeCell ref="AJ31:AL35"/>
    <mergeCell ref="AM31:AO35"/>
    <mergeCell ref="AJ27:AL27"/>
    <mergeCell ref="AM27:AO27"/>
    <mergeCell ref="B22:E24"/>
    <mergeCell ref="AG22:AU23"/>
    <mergeCell ref="AS27:AU27"/>
    <mergeCell ref="AG26:AI26"/>
    <mergeCell ref="AJ26:AL26"/>
    <mergeCell ref="AM26:AO26"/>
    <mergeCell ref="AP26:AR26"/>
    <mergeCell ref="AP25:AR25"/>
    <mergeCell ref="B28:E28"/>
    <mergeCell ref="F28:H28"/>
    <mergeCell ref="I28:AE28"/>
    <mergeCell ref="I35:AE35"/>
    <mergeCell ref="I34:AE34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Total</vt:lpstr>
      <vt:lpstr>A-Main Dimension</vt:lpstr>
      <vt:lpstr>B-Secundary Dimension</vt:lpstr>
      <vt:lpstr>C-Surface Quality</vt:lpstr>
      <vt:lpstr>E-additional material </vt:lpstr>
      <vt:lpstr>D-conformity</vt:lpstr>
      <vt:lpstr>'A-Main Dimension'!Print_Area</vt:lpstr>
      <vt:lpstr>'B-Secundary Dimension'!Print_Area</vt:lpstr>
      <vt:lpstr>'C-Surface Quality'!Print_Area</vt:lpstr>
      <vt:lpstr>'D-conformity'!Print_Area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2011-04-24T03:50:21Z</cp:lastPrinted>
  <dcterms:created xsi:type="dcterms:W3CDTF">1996-12-17T01:32:42Z</dcterms:created>
  <dcterms:modified xsi:type="dcterms:W3CDTF">2014-05-28T07:22:11Z</dcterms:modified>
</cp:coreProperties>
</file>