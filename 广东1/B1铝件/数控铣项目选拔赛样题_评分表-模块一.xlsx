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8360" activeTab="1"/>
  </bookViews>
  <sheets>
    <sheet name="成绩单" sheetId="1" r:id="rId1"/>
    <sheet name="MOD1-评分表" sheetId="2" r:id="rId2"/>
  </sheets>
  <externalReferences>
    <externalReference r:id="rId3"/>
  </externalReferences>
  <definedNames>
    <definedName name="_xlnm.Print_Area" localSheetId="0">成绩单!$A$1:L47</definedName>
    <definedName name="_xlnm.Print_Area" localSheetId="1">'MOD1-评分表'!$B$1:M88</definedName>
  </definedNames>
  <calcPr calcId="144525"/>
</workbook>
</file>

<file path=xl/sharedStrings.xml><?xml version="1.0" encoding="utf-8"?>
<sst xmlns="http://schemas.openxmlformats.org/spreadsheetml/2006/main" count="97">
  <si>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</si>
  <si>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</si>
  <si>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</si>
  <si>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</si>
  <si>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</si>
  <si>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</si>
  <si>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</si>
  <si>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</si>
  <si>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</si>
  <si>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</si>
  <si>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</si>
  <si>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</si>
  <si>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</si>
  <si>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</si>
  <si>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</si>
  <si>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</si>
  <si>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t>B</t>
  </si>
  <si>
    <t xml:space="preserve"> 模块1-次要尺寸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</si>
  <si>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</si>
  <si>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t>C</t>
  </si>
  <si>
    <t>模块1-表面质量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</si>
  <si>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</si>
  <si>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t>D</t>
  </si>
  <si>
    <t xml:space="preserve">  模块1-主观评判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</si>
  <si>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</si>
  <si>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t>E</t>
  </si>
  <si>
    <t>模块1-是否增加毛坯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</si>
  <si>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</si>
  <si>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</si>
  <si>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</si>
  <si>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</si>
  <si>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</si>
  <si>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</si>
  <si>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</si>
  <si>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</si>
  <si>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</si>
  <si>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</si>
  <si>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</si>
  <si>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</si>
  <si>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</si>
  <si>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</si>
  <si>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</si>
  <si>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</si>
  <si>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</si>
  <si>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</si>
  <si>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</si>
  <si>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</si>
  <si>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A5</t>
  </si>
  <si>
    <t>长度</t>
  </si>
  <si>
    <t>C2</t>
  </si>
  <si>
    <t>直径</t>
  </si>
  <si>
    <t>B4</t>
  </si>
  <si>
    <t>C3</t>
  </si>
  <si>
    <t>F4</t>
  </si>
  <si>
    <t>C6</t>
  </si>
  <si>
    <t>C7</t>
  </si>
  <si>
    <t>D7</t>
  </si>
  <si>
    <t>A3</t>
  </si>
  <si>
    <t>平行度</t>
  </si>
  <si>
    <t>C8</t>
  </si>
  <si>
    <t>C9</t>
  </si>
  <si>
    <t>C10</t>
  </si>
  <si>
    <t>D8</t>
  </si>
  <si>
    <t>D9</t>
  </si>
  <si>
    <t>B9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</si>
  <si>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</si>
  <si>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</si>
  <si>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A4</t>
  </si>
  <si>
    <t>B3</t>
  </si>
  <si>
    <t>D2</t>
  </si>
  <si>
    <t>C4</t>
  </si>
  <si>
    <t>E5</t>
  </si>
  <si>
    <t>E3</t>
  </si>
  <si>
    <t>D1</t>
  </si>
  <si>
    <t>螺纹</t>
  </si>
  <si>
    <t>OK</t>
  </si>
  <si>
    <t>NO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</si>
  <si>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</si>
  <si>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</si>
  <si>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</si>
  <si>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t>C1</t>
  </si>
  <si>
    <t>D6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</si>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</sst>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11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Arial"/>
      <family val="38"/>
      <charset val="0"/>
    </font>
    <font>
      <sz val="8"/>
      <name val="宋体"/>
      <family val="7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42" xfId="0" applyBorder="1">
      <alignment vertical="center"/>
    </xf>
    <xf numFmtId="0" fontId="0" fillId="0" borderId="29" xfId="0" applyBorder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2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7">
    <cellStyle name="常规" xfId="0" builtinId="0"/>
    <cellStyle name="常规_Sheet1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968;&#25511;&#38115;&#39033;&#30446;&#36873;&#25300;&#36187;&#26679;&#39064;_&#35780;&#20998;&#34920;-&#27169;&#22359;&#2010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成绩单"/>
      <sheetName val="MOD2-评分表"/>
    </sheetNames>
    <sheetDataSet>
      <sheetData sheetId="0"/>
      <sheetData sheetId="1">
        <row r="35">
          <cell r="L35">
            <v>0</v>
          </cell>
        </row>
        <row r="61">
          <cell r="L61">
            <v>0</v>
          </cell>
        </row>
        <row r="70">
          <cell r="L70">
            <v>0</v>
          </cell>
        </row>
        <row r="86">
          <cell r="L8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workbookViewId="0">
      <selection activeCell="H13" sqref="H13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9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22"/>
    </row>
    <row r="2" ht="16.5" customHeight="1" spans="1:12">
      <c r="A2" s="101"/>
      <c r="B2" s="102" t="s">
        <v>0</v>
      </c>
      <c r="C2" s="103"/>
      <c r="D2" s="103"/>
      <c r="E2" s="103"/>
      <c r="F2" s="103"/>
      <c r="G2" s="103"/>
      <c r="H2" s="103"/>
      <c r="I2" s="103"/>
      <c r="J2" s="103"/>
      <c r="K2" s="103"/>
      <c r="L2" s="123"/>
    </row>
    <row r="3" ht="16.5" customHeight="1" spans="1:12">
      <c r="A3" s="101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23"/>
    </row>
    <row r="4" ht="16.5" customHeight="1" spans="1:12">
      <c r="A4" s="101"/>
      <c r="B4" s="10" t="s">
        <v>1</v>
      </c>
      <c r="C4" s="8"/>
      <c r="D4" s="9"/>
      <c r="E4" s="104"/>
      <c r="F4" s="105"/>
      <c r="G4" s="106" t="s">
        <v>2</v>
      </c>
      <c r="H4" s="106"/>
      <c r="I4" s="124"/>
      <c r="J4" s="125"/>
      <c r="K4" s="126"/>
      <c r="L4" s="123"/>
    </row>
    <row r="5" ht="16.5" customHeight="1" spans="1:12">
      <c r="A5" s="101"/>
      <c r="B5" s="10" t="s">
        <v>3</v>
      </c>
      <c r="C5" s="8"/>
      <c r="D5" s="9"/>
      <c r="E5" s="104"/>
      <c r="F5" s="105"/>
      <c r="G5" s="106"/>
      <c r="H5" s="106"/>
      <c r="I5" s="124"/>
      <c r="J5" s="125"/>
      <c r="K5" s="126"/>
      <c r="L5" s="123"/>
    </row>
    <row r="6" spans="1:12">
      <c r="A6" s="101"/>
      <c r="B6" s="1"/>
      <c r="C6" s="1"/>
      <c r="D6" s="1"/>
      <c r="E6" s="1"/>
      <c r="F6" s="1"/>
      <c r="G6" s="1"/>
      <c r="H6" s="1"/>
      <c r="I6" s="1"/>
      <c r="J6" s="1"/>
      <c r="K6" s="1"/>
      <c r="L6" s="123"/>
    </row>
    <row r="7" spans="1:12">
      <c r="A7" s="101"/>
      <c r="B7" s="107" t="s">
        <v>4</v>
      </c>
      <c r="C7" s="108"/>
      <c r="D7" s="109" t="s">
        <v>5</v>
      </c>
      <c r="E7" s="108"/>
      <c r="F7" s="110"/>
      <c r="G7" s="109" t="s">
        <v>6</v>
      </c>
      <c r="H7" s="108"/>
      <c r="I7" s="108"/>
      <c r="J7" s="110"/>
      <c r="K7" s="109" t="s">
        <v>7</v>
      </c>
      <c r="L7" s="123"/>
    </row>
    <row r="8" spans="1:12">
      <c r="A8" s="101"/>
      <c r="B8" s="108"/>
      <c r="C8" s="108"/>
      <c r="D8" s="108"/>
      <c r="E8" s="108"/>
      <c r="F8" s="110"/>
      <c r="G8" s="108" t="s">
        <v>8</v>
      </c>
      <c r="H8" s="108" t="s">
        <v>9</v>
      </c>
      <c r="I8" s="108" t="s">
        <v>10</v>
      </c>
      <c r="J8" s="110"/>
      <c r="K8" s="108"/>
      <c r="L8" s="123"/>
    </row>
    <row r="9" spans="1:12">
      <c r="A9" s="101"/>
      <c r="B9" s="20" t="s">
        <v>11</v>
      </c>
      <c r="C9" s="20">
        <v>1</v>
      </c>
      <c r="D9" s="20" t="s">
        <v>12</v>
      </c>
      <c r="E9" s="20"/>
      <c r="F9" s="111" t="s">
        <v>13</v>
      </c>
      <c r="G9" s="20">
        <v>27</v>
      </c>
      <c r="H9" s="20"/>
      <c r="I9" s="20"/>
      <c r="J9" s="127"/>
      <c r="K9" s="127"/>
      <c r="L9" s="123"/>
    </row>
    <row r="10" spans="1:12">
      <c r="A10" s="101"/>
      <c r="B10" s="20"/>
      <c r="C10" s="20"/>
      <c r="D10" s="20"/>
      <c r="E10" s="20"/>
      <c r="F10" s="111" t="s">
        <v>14</v>
      </c>
      <c r="G10" s="20" t="e">
        <f>SUM(#REF!)</f>
        <v>#REF!</v>
      </c>
      <c r="H10" s="20"/>
      <c r="I10" s="20"/>
      <c r="J10" s="127"/>
      <c r="K10" s="20" t="e">
        <f t="shared" ref="K10:K14" si="0">SUM(G10:J10)</f>
        <v>#REF!</v>
      </c>
      <c r="L10" s="123"/>
    </row>
    <row r="11" spans="1:12">
      <c r="A11" s="101"/>
      <c r="B11" s="20" t="s">
        <v>11</v>
      </c>
      <c r="C11" s="20">
        <v>2</v>
      </c>
      <c r="D11" s="20" t="s">
        <v>15</v>
      </c>
      <c r="E11" s="20"/>
      <c r="F11" s="111" t="s">
        <v>13</v>
      </c>
      <c r="G11" s="20"/>
      <c r="H11" s="20">
        <v>27</v>
      </c>
      <c r="I11" s="20"/>
      <c r="J11" s="127"/>
      <c r="K11" s="127"/>
      <c r="L11" s="123"/>
    </row>
    <row r="12" spans="1:12">
      <c r="A12" s="101"/>
      <c r="B12" s="20"/>
      <c r="C12" s="20"/>
      <c r="D12" s="20"/>
      <c r="E12" s="20"/>
      <c r="F12" s="111" t="s">
        <v>14</v>
      </c>
      <c r="G12" s="20"/>
      <c r="H12" s="20">
        <f>SUM('[1]MOD2-评分表'!L35)</f>
        <v>0</v>
      </c>
      <c r="I12" s="20"/>
      <c r="J12" s="127"/>
      <c r="K12" s="20">
        <f>SUM(G12:J12)</f>
        <v>0</v>
      </c>
      <c r="L12" s="123"/>
    </row>
    <row r="13" spans="1:12">
      <c r="A13" s="101"/>
      <c r="B13" s="20" t="s">
        <v>16</v>
      </c>
      <c r="C13" s="20">
        <v>1</v>
      </c>
      <c r="D13" s="20" t="s">
        <v>17</v>
      </c>
      <c r="E13" s="20"/>
      <c r="F13" s="111" t="s">
        <v>13</v>
      </c>
      <c r="G13" s="20">
        <v>10.5</v>
      </c>
      <c r="H13" s="20"/>
      <c r="I13" s="20"/>
      <c r="J13" s="127"/>
      <c r="K13" s="127"/>
      <c r="L13" s="123"/>
    </row>
    <row r="14" spans="1:12">
      <c r="A14" s="101"/>
      <c r="B14" s="20"/>
      <c r="C14" s="20"/>
      <c r="D14" s="20"/>
      <c r="E14" s="20"/>
      <c r="F14" s="111" t="s">
        <v>14</v>
      </c>
      <c r="G14" s="20" t="e">
        <f>SUM(#REF!)</f>
        <v>#REF!</v>
      </c>
      <c r="H14" s="20"/>
      <c r="I14" s="20"/>
      <c r="J14" s="127"/>
      <c r="K14" s="20" t="e">
        <f>SUM(G14:J14)</f>
        <v>#REF!</v>
      </c>
      <c r="L14" s="123"/>
    </row>
    <row r="15" spans="1:12">
      <c r="A15" s="101"/>
      <c r="B15" s="20" t="s">
        <v>16</v>
      </c>
      <c r="C15" s="20">
        <v>2</v>
      </c>
      <c r="D15" s="20" t="s">
        <v>18</v>
      </c>
      <c r="E15" s="20"/>
      <c r="F15" s="111" t="s">
        <v>13</v>
      </c>
      <c r="G15" s="20"/>
      <c r="H15" s="20">
        <v>10.5</v>
      </c>
      <c r="I15" s="20"/>
      <c r="J15" s="127"/>
      <c r="K15" s="127"/>
      <c r="L15" s="123"/>
    </row>
    <row r="16" spans="1:12">
      <c r="A16" s="101"/>
      <c r="B16" s="20"/>
      <c r="C16" s="20"/>
      <c r="D16" s="20"/>
      <c r="E16" s="20"/>
      <c r="F16" s="111" t="s">
        <v>14</v>
      </c>
      <c r="G16" s="20"/>
      <c r="H16" s="20">
        <f>SUM('[1]MOD2-评分表'!L61)</f>
        <v>0</v>
      </c>
      <c r="I16" s="20"/>
      <c r="J16" s="127"/>
      <c r="K16" s="20">
        <f t="shared" ref="K16:K20" si="1">SUM(G16:J16)</f>
        <v>0</v>
      </c>
      <c r="L16" s="123"/>
    </row>
    <row r="17" spans="1:12">
      <c r="A17" s="101"/>
      <c r="B17" s="20" t="s">
        <v>19</v>
      </c>
      <c r="C17" s="20">
        <v>1</v>
      </c>
      <c r="D17" s="20" t="s">
        <v>20</v>
      </c>
      <c r="E17" s="20"/>
      <c r="F17" s="111" t="s">
        <v>13</v>
      </c>
      <c r="G17" s="20">
        <v>4.5</v>
      </c>
      <c r="H17" s="20"/>
      <c r="I17" s="20"/>
      <c r="J17" s="127"/>
      <c r="K17" s="127"/>
      <c r="L17" s="123"/>
    </row>
    <row r="18" spans="1:12">
      <c r="A18" s="101"/>
      <c r="B18" s="20"/>
      <c r="C18" s="20"/>
      <c r="D18" s="20"/>
      <c r="E18" s="20"/>
      <c r="F18" s="111" t="s">
        <v>14</v>
      </c>
      <c r="G18" s="20" t="e">
        <f>SUM(#REF!)</f>
        <v>#REF!</v>
      </c>
      <c r="H18" s="20"/>
      <c r="I18" s="20"/>
      <c r="J18" s="127"/>
      <c r="K18" s="20" t="e">
        <f>SUM(G18:J18)</f>
        <v>#REF!</v>
      </c>
      <c r="L18" s="123"/>
    </row>
    <row r="19" spans="1:12">
      <c r="A19" s="101"/>
      <c r="B19" s="20" t="s">
        <v>19</v>
      </c>
      <c r="C19" s="20">
        <v>2</v>
      </c>
      <c r="D19" s="20" t="s">
        <v>21</v>
      </c>
      <c r="E19" s="20"/>
      <c r="F19" s="111" t="s">
        <v>13</v>
      </c>
      <c r="G19" s="20"/>
      <c r="H19" s="20">
        <v>4.5</v>
      </c>
      <c r="I19" s="20"/>
      <c r="J19" s="127"/>
      <c r="K19" s="127"/>
      <c r="L19" s="123"/>
    </row>
    <row r="20" spans="1:12">
      <c r="A20" s="101"/>
      <c r="B20" s="20"/>
      <c r="C20" s="20"/>
      <c r="D20" s="20"/>
      <c r="E20" s="20"/>
      <c r="F20" s="111" t="s">
        <v>14</v>
      </c>
      <c r="G20" s="20"/>
      <c r="H20" s="20">
        <f>SUM('[1]MOD2-评分表'!L70)</f>
        <v>0</v>
      </c>
      <c r="I20" s="20"/>
      <c r="J20" s="127"/>
      <c r="K20" s="20">
        <f>SUM(G20:J20)</f>
        <v>0</v>
      </c>
      <c r="L20" s="123"/>
    </row>
    <row r="21" spans="1:12">
      <c r="A21" s="101"/>
      <c r="B21" s="20" t="s">
        <v>22</v>
      </c>
      <c r="C21" s="20">
        <v>1</v>
      </c>
      <c r="D21" s="20" t="s">
        <v>23</v>
      </c>
      <c r="E21" s="20"/>
      <c r="F21" s="111" t="s">
        <v>13</v>
      </c>
      <c r="G21" s="20">
        <v>5</v>
      </c>
      <c r="H21" s="20"/>
      <c r="I21" s="20"/>
      <c r="J21" s="127"/>
      <c r="K21" s="127"/>
      <c r="L21" s="123"/>
    </row>
    <row r="22" spans="1:12">
      <c r="A22" s="101"/>
      <c r="B22" s="20"/>
      <c r="C22" s="20"/>
      <c r="D22" s="20"/>
      <c r="E22" s="20"/>
      <c r="F22" s="111" t="s">
        <v>14</v>
      </c>
      <c r="G22" s="20" t="e">
        <f>SUM(#REF!)</f>
        <v>#REF!</v>
      </c>
      <c r="H22" s="20"/>
      <c r="I22" s="20"/>
      <c r="J22" s="127"/>
      <c r="K22" s="20" t="e">
        <f t="shared" ref="K22:K26" si="2">SUM(G22:J22)</f>
        <v>#REF!</v>
      </c>
      <c r="L22" s="123"/>
    </row>
    <row r="23" spans="1:12">
      <c r="A23" s="101"/>
      <c r="B23" s="20" t="s">
        <v>22</v>
      </c>
      <c r="C23" s="20">
        <v>2</v>
      </c>
      <c r="D23" s="20" t="s">
        <v>24</v>
      </c>
      <c r="E23" s="20"/>
      <c r="F23" s="111" t="s">
        <v>13</v>
      </c>
      <c r="G23" s="20"/>
      <c r="H23" s="20">
        <v>5</v>
      </c>
      <c r="I23" s="20"/>
      <c r="J23" s="127"/>
      <c r="K23" s="127"/>
      <c r="L23" s="123"/>
    </row>
    <row r="24" spans="1:12">
      <c r="A24" s="101"/>
      <c r="B24" s="20"/>
      <c r="C24" s="20"/>
      <c r="D24" s="20"/>
      <c r="E24" s="20"/>
      <c r="F24" s="111" t="s">
        <v>14</v>
      </c>
      <c r="G24" s="20"/>
      <c r="H24" s="20">
        <f>SUM('[1]MOD2-评分表'!L86)</f>
        <v>0</v>
      </c>
      <c r="I24" s="20"/>
      <c r="J24" s="127"/>
      <c r="K24" s="20">
        <f>SUM(G24:J24)</f>
        <v>0</v>
      </c>
      <c r="L24" s="123"/>
    </row>
    <row r="25" spans="1:12">
      <c r="A25" s="101"/>
      <c r="B25" s="20" t="s">
        <v>25</v>
      </c>
      <c r="C25" s="20">
        <v>1</v>
      </c>
      <c r="D25" s="20" t="s">
        <v>26</v>
      </c>
      <c r="E25" s="20"/>
      <c r="F25" s="111" t="s">
        <v>13</v>
      </c>
      <c r="G25" s="20">
        <v>3</v>
      </c>
      <c r="H25" s="20"/>
      <c r="I25" s="20"/>
      <c r="J25" s="127"/>
      <c r="K25" s="127"/>
      <c r="L25" s="123"/>
    </row>
    <row r="26" spans="1:12">
      <c r="A26" s="101"/>
      <c r="B26" s="20"/>
      <c r="C26" s="20"/>
      <c r="D26" s="20"/>
      <c r="E26" s="20"/>
      <c r="F26" s="111" t="s">
        <v>14</v>
      </c>
      <c r="G26" s="20" t="e">
        <f>SUM(#REF!)</f>
        <v>#REF!</v>
      </c>
      <c r="H26" s="20"/>
      <c r="I26" s="20"/>
      <c r="J26" s="127"/>
      <c r="K26" s="20" t="e">
        <f t="shared" ref="K26:K31" si="3">SUM(G26:J26)</f>
        <v>#REF!</v>
      </c>
      <c r="L26" s="123"/>
    </row>
    <row r="27" spans="1:12">
      <c r="A27" s="101"/>
      <c r="B27" s="20" t="s">
        <v>25</v>
      </c>
      <c r="C27" s="20">
        <v>2</v>
      </c>
      <c r="D27" s="20" t="s">
        <v>27</v>
      </c>
      <c r="E27" s="20"/>
      <c r="F27" s="111" t="s">
        <v>13</v>
      </c>
      <c r="G27" s="20"/>
      <c r="H27" s="20">
        <v>3</v>
      </c>
      <c r="I27" s="20"/>
      <c r="J27" s="127"/>
      <c r="K27" s="127"/>
      <c r="L27" s="123"/>
    </row>
    <row r="28" spans="1:12">
      <c r="A28" s="101"/>
      <c r="B28" s="20"/>
      <c r="C28" s="20"/>
      <c r="D28" s="20"/>
      <c r="E28" s="20"/>
      <c r="F28" s="111" t="s">
        <v>14</v>
      </c>
      <c r="G28" s="20"/>
      <c r="H28" s="20">
        <v>0</v>
      </c>
      <c r="I28" s="20"/>
      <c r="J28" s="127"/>
      <c r="K28" s="20">
        <f t="shared" ref="K28:K31" si="4">SUM(G28:J28)</f>
        <v>0</v>
      </c>
      <c r="L28" s="123"/>
    </row>
    <row r="29" spans="1:12">
      <c r="A29" s="101"/>
      <c r="B29" s="112"/>
      <c r="C29" s="112"/>
      <c r="D29" s="112"/>
      <c r="E29" s="113"/>
      <c r="F29" s="114"/>
      <c r="G29" s="115"/>
      <c r="H29" s="115"/>
      <c r="I29" s="115"/>
      <c r="J29" s="115"/>
      <c r="K29" s="115"/>
      <c r="L29" s="123"/>
    </row>
    <row r="30" spans="1:12">
      <c r="A30" s="101"/>
      <c r="B30" s="112"/>
      <c r="C30" s="112"/>
      <c r="D30" s="112"/>
      <c r="E30" s="113"/>
      <c r="F30" s="111" t="s">
        <v>13</v>
      </c>
      <c r="G30" s="20">
        <f>SUM(G9+G13+G17+G21+G25)</f>
        <v>50</v>
      </c>
      <c r="H30" s="20">
        <f>SUM(H11+H15+H19+H23+H27)</f>
        <v>50</v>
      </c>
      <c r="I30" s="20" t="e">
        <f>SUM(#REF!+#REF!+#REF!+#REF!+#REF!)</f>
        <v>#REF!</v>
      </c>
      <c r="J30" s="111" t="s">
        <v>13</v>
      </c>
      <c r="K30" s="20" t="e">
        <f>SUM(G30:J30)</f>
        <v>#REF!</v>
      </c>
      <c r="L30" s="123"/>
    </row>
    <row r="31" spans="1:12">
      <c r="A31" s="101"/>
      <c r="B31" s="112"/>
      <c r="C31" s="112"/>
      <c r="D31" s="112"/>
      <c r="E31" s="113"/>
      <c r="F31" s="111" t="s">
        <v>14</v>
      </c>
      <c r="G31" s="20" t="e">
        <f>SUM(G10+G14+G18+G22+G26)</f>
        <v>#REF!</v>
      </c>
      <c r="H31" s="20">
        <f>SUM(H12+H16+H20+H24+H28)</f>
        <v>0</v>
      </c>
      <c r="I31" s="20">
        <v>0</v>
      </c>
      <c r="J31" s="111" t="s">
        <v>28</v>
      </c>
      <c r="K31" s="128" t="e">
        <f>SUM(G31:J31)</f>
        <v>#REF!</v>
      </c>
      <c r="L31" s="123"/>
    </row>
    <row r="32" spans="1:12">
      <c r="A32" s="101"/>
      <c r="B32" s="112"/>
      <c r="C32" s="112"/>
      <c r="D32" s="112"/>
      <c r="E32" s="113"/>
      <c r="F32" s="115"/>
      <c r="G32" s="115"/>
      <c r="H32" s="115"/>
      <c r="I32" s="115"/>
      <c r="J32" s="115"/>
      <c r="K32" s="1"/>
      <c r="L32" s="123"/>
    </row>
    <row r="33" spans="1:12">
      <c r="A33" s="101"/>
      <c r="B33" s="112"/>
      <c r="C33" s="112"/>
      <c r="D33" s="112"/>
      <c r="E33" s="113"/>
      <c r="F33" s="115"/>
      <c r="G33" s="35" t="s">
        <v>29</v>
      </c>
      <c r="H33" s="35"/>
      <c r="I33" s="129"/>
      <c r="J33" s="129"/>
      <c r="K33" s="129"/>
      <c r="L33" s="123"/>
    </row>
    <row r="34" spans="1:12">
      <c r="A34" s="101"/>
      <c r="B34" s="1"/>
      <c r="C34" s="1"/>
      <c r="D34" s="1"/>
      <c r="E34" s="1"/>
      <c r="F34" s="1"/>
      <c r="G34" s="35"/>
      <c r="H34" s="35"/>
      <c r="I34" s="129"/>
      <c r="J34" s="129"/>
      <c r="K34" s="129"/>
      <c r="L34" s="123"/>
    </row>
    <row r="35" spans="1:12">
      <c r="A35" s="101"/>
      <c r="B35" s="1"/>
      <c r="C35" s="1"/>
      <c r="D35" s="1"/>
      <c r="E35" s="1"/>
      <c r="F35" s="1"/>
      <c r="G35" s="116" t="s">
        <v>30</v>
      </c>
      <c r="H35" s="117"/>
      <c r="I35" s="130"/>
      <c r="J35" s="131"/>
      <c r="K35" s="132"/>
      <c r="L35" s="123"/>
    </row>
    <row r="36" spans="1:12">
      <c r="A36" s="101"/>
      <c r="B36" s="1"/>
      <c r="C36" s="1"/>
      <c r="D36" s="1"/>
      <c r="E36" s="1"/>
      <c r="F36" s="1"/>
      <c r="G36" s="118"/>
      <c r="H36" s="119"/>
      <c r="I36" s="133"/>
      <c r="J36" s="134"/>
      <c r="K36" s="135"/>
      <c r="L36" s="123"/>
    </row>
    <row r="37" spans="1:12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36"/>
    </row>
    <row r="40" spans="1:1">
      <c r="A40" s="101"/>
    </row>
    <row r="41" ht="14.25" customHeight="1" spans="1:1">
      <c r="A41" s="101"/>
    </row>
    <row r="42" spans="1:1">
      <c r="A42" s="101"/>
    </row>
    <row r="43" spans="1:1">
      <c r="A43" s="101"/>
    </row>
    <row r="44" spans="1:1">
      <c r="A44" s="101"/>
    </row>
    <row r="45" spans="1:1">
      <c r="A45" s="101"/>
    </row>
    <row r="46" spans="1:1">
      <c r="A46" s="101"/>
    </row>
    <row r="47" spans="1:1">
      <c r="A47" s="120"/>
    </row>
  </sheetData>
  <mergeCells count="47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K7:K8"/>
    <mergeCell ref="B2:K3"/>
    <mergeCell ref="B7:C8"/>
    <mergeCell ref="D7:E8"/>
    <mergeCell ref="D9:E10"/>
    <mergeCell ref="D11:E12"/>
    <mergeCell ref="D13:E14"/>
    <mergeCell ref="D15:E16"/>
    <mergeCell ref="D17:E18"/>
    <mergeCell ref="D19:E20"/>
    <mergeCell ref="D21:E22"/>
    <mergeCell ref="D23:E24"/>
    <mergeCell ref="D25:E26"/>
    <mergeCell ref="D27:E28"/>
    <mergeCell ref="G33:H34"/>
    <mergeCell ref="I33:K34"/>
    <mergeCell ref="G35:H36"/>
    <mergeCell ref="I35:K36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M88"/>
  <sheetViews>
    <sheetView tabSelected="1" zoomScale="115" zoomScaleNormal="115" topLeftCell="A69" workbookViewId="0">
      <selection activeCell="N19" sqref="N19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4" max="14" width="12.625"/>
    <col min="15" max="24" width="9" hidden="1" customWidth="1"/>
  </cols>
  <sheetData>
    <row r="1" ht="16.5" customHeight="1" spans="2:13">
      <c r="B1" s="3" t="s">
        <v>31</v>
      </c>
      <c r="C1" s="4"/>
      <c r="D1" s="4"/>
      <c r="E1" s="4"/>
      <c r="F1" s="4"/>
      <c r="G1" s="4"/>
      <c r="H1" s="4"/>
      <c r="I1" s="4"/>
      <c r="J1" s="4"/>
      <c r="K1" s="4"/>
      <c r="L1" s="4"/>
      <c r="M1" s="32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3"/>
    </row>
    <row r="3" ht="16.5" customHeight="1" spans="2:13">
      <c r="B3" s="7" t="s">
        <v>1</v>
      </c>
      <c r="C3" s="8"/>
      <c r="D3" s="9"/>
      <c r="E3" s="10" t="e">
        <f>T(成绩单!#REF!)</f>
        <v>#REF!</v>
      </c>
      <c r="F3" s="9"/>
      <c r="G3" s="10" t="s">
        <v>2</v>
      </c>
      <c r="H3" s="9"/>
      <c r="I3" s="10" t="e">
        <f>T(成绩单!#REF!)</f>
        <v>#REF!</v>
      </c>
      <c r="J3" s="9"/>
      <c r="K3" s="34"/>
      <c r="L3" s="35"/>
      <c r="M3" s="36"/>
    </row>
    <row r="4" ht="16.5" customHeight="1" spans="2:13">
      <c r="B4" s="11" t="s">
        <v>3</v>
      </c>
      <c r="C4" s="12"/>
      <c r="D4" s="13"/>
      <c r="E4" s="14" t="e">
        <f>T(成绩单!#REF!)</f>
        <v>#REF!</v>
      </c>
      <c r="F4" s="13"/>
      <c r="G4" s="14" t="s">
        <v>32</v>
      </c>
      <c r="H4" s="13"/>
      <c r="I4" s="37" t="s">
        <v>33</v>
      </c>
      <c r="J4" s="37"/>
      <c r="K4" s="38" t="s">
        <v>34</v>
      </c>
      <c r="L4" s="14">
        <f>SUM(L7:L81)</f>
        <v>9</v>
      </c>
      <c r="M4" s="39"/>
    </row>
    <row r="6" spans="2:13">
      <c r="B6" s="15" t="s">
        <v>35</v>
      </c>
      <c r="C6" s="16" t="s">
        <v>13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  <c r="J6" s="16" t="s">
        <v>42</v>
      </c>
      <c r="K6" s="16" t="s">
        <v>43</v>
      </c>
      <c r="L6" s="16" t="s">
        <v>44</v>
      </c>
      <c r="M6" s="40" t="s">
        <v>45</v>
      </c>
    </row>
    <row r="7" spans="2:13">
      <c r="B7" s="17" t="s">
        <v>46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41"/>
    </row>
    <row r="8" spans="2:13">
      <c r="B8" s="19">
        <v>1</v>
      </c>
      <c r="C8" s="20">
        <v>1</v>
      </c>
      <c r="D8" s="21" t="s">
        <v>47</v>
      </c>
      <c r="E8" s="21" t="s">
        <v>48</v>
      </c>
      <c r="F8" s="22">
        <v>27</v>
      </c>
      <c r="G8" s="22">
        <v>0.03</v>
      </c>
      <c r="H8" s="22">
        <v>0</v>
      </c>
      <c r="I8" s="22">
        <f t="shared" ref="I8:I18" si="0">F8+G8</f>
        <v>27.03</v>
      </c>
      <c r="J8" s="21">
        <f t="shared" ref="J8:J18" si="1">F8+H8</f>
        <v>27</v>
      </c>
      <c r="K8" s="42"/>
      <c r="L8" s="20">
        <f>IF(K8&gt;=(J8-M8),(IF(K8&lt;=(I8+M8),C8,0)),0)</f>
        <v>0</v>
      </c>
      <c r="M8" s="43"/>
    </row>
    <row r="9" spans="2:13">
      <c r="B9" s="19">
        <v>2</v>
      </c>
      <c r="C9" s="20">
        <v>1</v>
      </c>
      <c r="D9" s="21" t="s">
        <v>47</v>
      </c>
      <c r="E9" s="21" t="s">
        <v>48</v>
      </c>
      <c r="F9" s="22">
        <v>41</v>
      </c>
      <c r="G9" s="22">
        <v>0.05</v>
      </c>
      <c r="H9" s="22">
        <v>0.02</v>
      </c>
      <c r="I9" s="22">
        <f>F9+G9</f>
        <v>41.05</v>
      </c>
      <c r="J9" s="21">
        <f>F9+H9</f>
        <v>41.02</v>
      </c>
      <c r="K9" s="42"/>
      <c r="L9" s="20">
        <f t="shared" ref="L9:L40" si="2">IF(K9&gt;=(J9-M9),(IF(K9&lt;=(I9+M9),C9,0)),0)</f>
        <v>0</v>
      </c>
      <c r="M9" s="43"/>
    </row>
    <row r="10" spans="2:13">
      <c r="B10" s="19">
        <v>3</v>
      </c>
      <c r="C10" s="20">
        <v>1</v>
      </c>
      <c r="D10" s="21" t="s">
        <v>49</v>
      </c>
      <c r="E10" s="21" t="s">
        <v>48</v>
      </c>
      <c r="F10" s="22">
        <v>9</v>
      </c>
      <c r="G10" s="22">
        <v>-0.02</v>
      </c>
      <c r="H10" s="22">
        <v>-0.04</v>
      </c>
      <c r="I10" s="22">
        <f>F10+G10</f>
        <v>8.98</v>
      </c>
      <c r="J10" s="21">
        <f>F10+H10</f>
        <v>8.96</v>
      </c>
      <c r="K10" s="42"/>
      <c r="L10" s="20">
        <f>IF(K10&gt;=(J10-M10),(IF(K10&lt;=(I10+M10),C10,0)),0)</f>
        <v>0</v>
      </c>
      <c r="M10" s="43"/>
    </row>
    <row r="11" spans="2:13">
      <c r="B11" s="19">
        <v>4</v>
      </c>
      <c r="C11" s="20">
        <v>1.5</v>
      </c>
      <c r="D11" s="23" t="s">
        <v>49</v>
      </c>
      <c r="E11" s="24" t="s">
        <v>50</v>
      </c>
      <c r="F11" s="22">
        <v>26</v>
      </c>
      <c r="G11" s="22">
        <v>0.02</v>
      </c>
      <c r="H11" s="22">
        <v>0</v>
      </c>
      <c r="I11" s="22">
        <f>F11+G11</f>
        <v>26.02</v>
      </c>
      <c r="J11" s="21">
        <f>F11+H11</f>
        <v>26</v>
      </c>
      <c r="K11" s="42"/>
      <c r="L11" s="20">
        <f>IF(K11&gt;=(J11-M11),(IF(K11&lt;=(I11+M11),C11,0)),0)</f>
        <v>0</v>
      </c>
      <c r="M11" s="43"/>
    </row>
    <row r="12" spans="2:13">
      <c r="B12" s="19">
        <v>5</v>
      </c>
      <c r="C12" s="20">
        <v>1</v>
      </c>
      <c r="D12" s="23" t="s">
        <v>51</v>
      </c>
      <c r="E12" s="21" t="s">
        <v>48</v>
      </c>
      <c r="F12" s="22">
        <v>8</v>
      </c>
      <c r="G12" s="22">
        <v>-0.05</v>
      </c>
      <c r="H12" s="22">
        <v>-0.08</v>
      </c>
      <c r="I12" s="22">
        <f>F12+G12</f>
        <v>7.95</v>
      </c>
      <c r="J12" s="21">
        <f>F12+H12</f>
        <v>7.92</v>
      </c>
      <c r="K12" s="42"/>
      <c r="L12" s="20">
        <f>IF(K12&gt;=(J12-M12),(IF(K12&lt;=(I12+M12),C12,0)),0)</f>
        <v>0</v>
      </c>
      <c r="M12" s="43"/>
    </row>
    <row r="13" spans="2:13">
      <c r="B13" s="19">
        <v>6</v>
      </c>
      <c r="C13" s="20">
        <v>1</v>
      </c>
      <c r="D13" s="23" t="s">
        <v>52</v>
      </c>
      <c r="E13" s="21" t="s">
        <v>48</v>
      </c>
      <c r="F13" s="22">
        <v>20</v>
      </c>
      <c r="G13" s="22">
        <v>0.04</v>
      </c>
      <c r="H13" s="22">
        <v>0.02</v>
      </c>
      <c r="I13" s="22">
        <f>F13+G13</f>
        <v>20.04</v>
      </c>
      <c r="J13" s="21">
        <f>F13+H13</f>
        <v>20.02</v>
      </c>
      <c r="K13" s="42"/>
      <c r="L13" s="20">
        <f>IF(K13&gt;=(J13-M13),(IF(K13&lt;=(I13+M13),C13,0)),0)</f>
        <v>0</v>
      </c>
      <c r="M13" s="43"/>
    </row>
    <row r="14" spans="2:13">
      <c r="B14" s="19">
        <v>7</v>
      </c>
      <c r="C14" s="20">
        <v>1</v>
      </c>
      <c r="D14" s="23" t="s">
        <v>52</v>
      </c>
      <c r="E14" s="21" t="s">
        <v>48</v>
      </c>
      <c r="F14" s="22">
        <v>10</v>
      </c>
      <c r="G14" s="22">
        <v>-0.02</v>
      </c>
      <c r="H14" s="22">
        <v>-0.04</v>
      </c>
      <c r="I14" s="22">
        <f>F14+G14</f>
        <v>9.98</v>
      </c>
      <c r="J14" s="21">
        <f>F14+H14</f>
        <v>9.96</v>
      </c>
      <c r="K14" s="42"/>
      <c r="L14" s="20">
        <f>IF(K14&gt;=(J14-M14),(IF(K14&lt;=(I14+M14),C14,0)),0)</f>
        <v>0</v>
      </c>
      <c r="M14" s="43"/>
    </row>
    <row r="15" spans="2:13">
      <c r="B15" s="19">
        <v>8</v>
      </c>
      <c r="C15" s="20">
        <v>1</v>
      </c>
      <c r="D15" s="23" t="s">
        <v>53</v>
      </c>
      <c r="E15" s="21" t="s">
        <v>48</v>
      </c>
      <c r="F15" s="22">
        <v>108</v>
      </c>
      <c r="G15" s="22">
        <v>0.15</v>
      </c>
      <c r="H15" s="22">
        <v>0.12</v>
      </c>
      <c r="I15" s="22">
        <f>F15+G15</f>
        <v>108.15</v>
      </c>
      <c r="J15" s="21">
        <f>F15+H15</f>
        <v>108.12</v>
      </c>
      <c r="K15" s="42"/>
      <c r="L15" s="20">
        <f>IF(K15&gt;=(J15-M15),(IF(K15&lt;=(I15+M15),C15,0)),0)</f>
        <v>0</v>
      </c>
      <c r="M15" s="43"/>
    </row>
    <row r="16" spans="2:13">
      <c r="B16" s="19">
        <v>9</v>
      </c>
      <c r="C16" s="20">
        <v>1.5</v>
      </c>
      <c r="D16" s="23" t="s">
        <v>54</v>
      </c>
      <c r="E16" s="24" t="s">
        <v>50</v>
      </c>
      <c r="F16" s="22">
        <v>21</v>
      </c>
      <c r="G16" s="22">
        <v>0.02</v>
      </c>
      <c r="H16" s="22">
        <v>0</v>
      </c>
      <c r="I16" s="22">
        <f>F16+G16</f>
        <v>21.02</v>
      </c>
      <c r="J16" s="21">
        <f>F16+H16</f>
        <v>21</v>
      </c>
      <c r="K16" s="42"/>
      <c r="L16" s="20">
        <f>IF(K16&gt;=(J16-M16),(IF(K16&lt;=(I16+M16),C16,0)),0)</f>
        <v>0</v>
      </c>
      <c r="M16" s="43"/>
    </row>
    <row r="17" spans="2:13">
      <c r="B17" s="19">
        <v>10</v>
      </c>
      <c r="C17" s="20">
        <v>1</v>
      </c>
      <c r="D17" s="23" t="s">
        <v>55</v>
      </c>
      <c r="E17" s="24" t="s">
        <v>50</v>
      </c>
      <c r="F17" s="22">
        <v>10</v>
      </c>
      <c r="G17" s="22">
        <v>0.015</v>
      </c>
      <c r="H17" s="22">
        <v>0</v>
      </c>
      <c r="I17" s="22">
        <f>F17+G17</f>
        <v>10.015</v>
      </c>
      <c r="J17" s="21">
        <f>F17+H17</f>
        <v>10</v>
      </c>
      <c r="K17" s="42"/>
      <c r="L17" s="20">
        <f>IF(K17&gt;=(J17-M17),(IF(K17&lt;=(I17+M17),C17,0)),0)</f>
        <v>0</v>
      </c>
      <c r="M17" s="43"/>
    </row>
    <row r="18" spans="2:13">
      <c r="B18" s="19">
        <v>11</v>
      </c>
      <c r="C18" s="20">
        <v>1.5</v>
      </c>
      <c r="D18" s="23" t="s">
        <v>56</v>
      </c>
      <c r="E18" s="24" t="s">
        <v>50</v>
      </c>
      <c r="F18" s="22">
        <v>22</v>
      </c>
      <c r="G18" s="22">
        <v>0.2</v>
      </c>
      <c r="H18" s="22">
        <v>0</v>
      </c>
      <c r="I18" s="22">
        <f>F18+G18</f>
        <v>22.2</v>
      </c>
      <c r="J18" s="21">
        <f>F18+H18</f>
        <v>22</v>
      </c>
      <c r="K18" s="42"/>
      <c r="L18" s="20">
        <f>IF(K18&gt;=(J18-M18),(IF(K18&lt;=(I18+M18),C18,0)),0)</f>
        <v>0</v>
      </c>
      <c r="M18" s="43"/>
    </row>
    <row r="19" spans="2:13">
      <c r="B19" s="19">
        <v>12</v>
      </c>
      <c r="C19" s="20">
        <v>3</v>
      </c>
      <c r="D19" s="23" t="s">
        <v>57</v>
      </c>
      <c r="E19" s="25" t="s">
        <v>58</v>
      </c>
      <c r="F19" s="22">
        <v>0.02</v>
      </c>
      <c r="G19" s="22">
        <v>0.02</v>
      </c>
      <c r="H19" s="22">
        <v>0</v>
      </c>
      <c r="I19" s="22">
        <v>0.02</v>
      </c>
      <c r="J19" s="22">
        <v>0</v>
      </c>
      <c r="K19" s="42"/>
      <c r="L19" s="20">
        <f>IF(K19&gt;=(J19-M19),(IF(K19&lt;=(I19+M19),C19,0)),0)</f>
        <v>3</v>
      </c>
      <c r="M19" s="43"/>
    </row>
    <row r="20" spans="2:13">
      <c r="B20" s="19">
        <v>13</v>
      </c>
      <c r="C20" s="20">
        <v>1</v>
      </c>
      <c r="D20" s="23" t="s">
        <v>54</v>
      </c>
      <c r="E20" s="21" t="s">
        <v>48</v>
      </c>
      <c r="F20" s="22">
        <v>6</v>
      </c>
      <c r="G20" s="22">
        <v>-0.06</v>
      </c>
      <c r="H20" s="22">
        <v>-0.08</v>
      </c>
      <c r="I20" s="22">
        <f t="shared" ref="I20:I30" si="3">F20+G20</f>
        <v>5.94</v>
      </c>
      <c r="J20" s="21">
        <f t="shared" ref="J20:J30" si="4">F20+H20</f>
        <v>5.92</v>
      </c>
      <c r="K20" s="42"/>
      <c r="L20" s="20">
        <f>IF(K20&gt;=(J20-M20),(IF(K20&lt;=(I20+M20),C20,0)),0)</f>
        <v>0</v>
      </c>
      <c r="M20" s="43"/>
    </row>
    <row r="21" spans="2:13">
      <c r="B21" s="19">
        <v>14</v>
      </c>
      <c r="C21" s="20">
        <v>1</v>
      </c>
      <c r="D21" s="23" t="s">
        <v>59</v>
      </c>
      <c r="E21" s="21" t="s">
        <v>48</v>
      </c>
      <c r="F21" s="22">
        <v>98</v>
      </c>
      <c r="G21" s="22">
        <v>0.22</v>
      </c>
      <c r="H21" s="22">
        <v>0.18</v>
      </c>
      <c r="I21" s="22">
        <f>F21+G21</f>
        <v>98.22</v>
      </c>
      <c r="J21" s="21">
        <f>F21+H21</f>
        <v>98.18</v>
      </c>
      <c r="K21" s="42"/>
      <c r="L21" s="20">
        <f>IF(K21&gt;=(J21-M21),(IF(K21&lt;=(I21+M21),C21,0)),0)</f>
        <v>0</v>
      </c>
      <c r="M21" s="43"/>
    </row>
    <row r="22" spans="2:13">
      <c r="B22" s="19">
        <v>15</v>
      </c>
      <c r="C22" s="20">
        <v>1</v>
      </c>
      <c r="D22" s="23" t="s">
        <v>60</v>
      </c>
      <c r="E22" s="21" t="s">
        <v>48</v>
      </c>
      <c r="F22" s="22">
        <v>27</v>
      </c>
      <c r="G22" s="22">
        <v>-0.01</v>
      </c>
      <c r="H22" s="22">
        <v>-0.03</v>
      </c>
      <c r="I22" s="22">
        <f>F22+G22</f>
        <v>26.99</v>
      </c>
      <c r="J22" s="21">
        <f>F22+H22</f>
        <v>26.97</v>
      </c>
      <c r="K22" s="42"/>
      <c r="L22" s="20">
        <f>IF(K22&gt;=(J22-M22),(IF(K22&lt;=(I22+M22),C22,0)),0)</f>
        <v>0</v>
      </c>
      <c r="M22" s="43"/>
    </row>
    <row r="23" spans="2:13">
      <c r="B23" s="19">
        <v>16</v>
      </c>
      <c r="C23" s="20">
        <v>1</v>
      </c>
      <c r="D23" s="23" t="s">
        <v>61</v>
      </c>
      <c r="E23" s="21" t="s">
        <v>48</v>
      </c>
      <c r="F23" s="22">
        <v>82</v>
      </c>
      <c r="G23" s="22">
        <v>0.07</v>
      </c>
      <c r="H23" s="22">
        <v>0.05</v>
      </c>
      <c r="I23" s="22">
        <f>F23+G23</f>
        <v>82.07</v>
      </c>
      <c r="J23" s="21">
        <f>F23+H23</f>
        <v>82.05</v>
      </c>
      <c r="K23" s="42"/>
      <c r="L23" s="20">
        <f>IF(K23&gt;=(J23-M23),(IF(K23&lt;=(I23+M23),C23,0)),0)</f>
        <v>0</v>
      </c>
      <c r="M23" s="43"/>
    </row>
    <row r="24" spans="2:13">
      <c r="B24" s="19">
        <v>17</v>
      </c>
      <c r="C24" s="20">
        <v>1</v>
      </c>
      <c r="D24" s="23" t="s">
        <v>61</v>
      </c>
      <c r="E24" s="21" t="s">
        <v>48</v>
      </c>
      <c r="F24" s="22">
        <v>29</v>
      </c>
      <c r="G24" s="22">
        <v>-0.02</v>
      </c>
      <c r="H24" s="22">
        <v>-0.05</v>
      </c>
      <c r="I24" s="22">
        <f>F24+G24</f>
        <v>28.98</v>
      </c>
      <c r="J24" s="21">
        <f>F24+H24</f>
        <v>28.95</v>
      </c>
      <c r="K24" s="42"/>
      <c r="L24" s="20">
        <f>IF(K24&gt;=(J24-M24),(IF(K24&lt;=(I24+M24),C24,0)),0)</f>
        <v>0</v>
      </c>
      <c r="M24" s="43"/>
    </row>
    <row r="25" spans="2:13">
      <c r="B25" s="19">
        <v>18</v>
      </c>
      <c r="C25" s="20">
        <v>1</v>
      </c>
      <c r="D25" s="23" t="s">
        <v>59</v>
      </c>
      <c r="E25" s="21" t="s">
        <v>48</v>
      </c>
      <c r="F25" s="22">
        <v>16</v>
      </c>
      <c r="G25" s="22">
        <v>0.08</v>
      </c>
      <c r="H25" s="22">
        <v>0.06</v>
      </c>
      <c r="I25" s="22">
        <f>F25+G25</f>
        <v>16.08</v>
      </c>
      <c r="J25" s="21">
        <f>F25+H25</f>
        <v>16.06</v>
      </c>
      <c r="K25" s="42"/>
      <c r="L25" s="20">
        <f>IF(K25&gt;=(J25-M25),(IF(K25&lt;=(I25+M25),C25,0)),0)</f>
        <v>0</v>
      </c>
      <c r="M25" s="43"/>
    </row>
    <row r="26" spans="2:13">
      <c r="B26" s="19">
        <v>19</v>
      </c>
      <c r="C26" s="20">
        <v>1</v>
      </c>
      <c r="D26" s="26" t="s">
        <v>55</v>
      </c>
      <c r="E26" s="21" t="s">
        <v>48</v>
      </c>
      <c r="F26" s="22">
        <v>1</v>
      </c>
      <c r="G26" s="22">
        <v>0.22</v>
      </c>
      <c r="H26" s="22">
        <v>0.2</v>
      </c>
      <c r="I26" s="22">
        <f>F26+G26</f>
        <v>1.22</v>
      </c>
      <c r="J26" s="21">
        <f>F26+H26</f>
        <v>1.2</v>
      </c>
      <c r="K26" s="42"/>
      <c r="L26" s="20">
        <f>IF(K26&gt;=(J26-M26),(IF(K26&lt;=(I26+M26),C26,0)),0)</f>
        <v>0</v>
      </c>
      <c r="M26" s="43"/>
    </row>
    <row r="27" spans="2:13">
      <c r="B27" s="19">
        <v>20</v>
      </c>
      <c r="C27" s="20">
        <v>1</v>
      </c>
      <c r="D27" s="23" t="s">
        <v>62</v>
      </c>
      <c r="E27" s="21" t="s">
        <v>48</v>
      </c>
      <c r="F27" s="22">
        <v>2</v>
      </c>
      <c r="G27" s="22">
        <v>0.06</v>
      </c>
      <c r="H27" s="22">
        <v>0.04</v>
      </c>
      <c r="I27" s="22">
        <f>F27+G27</f>
        <v>2.06</v>
      </c>
      <c r="J27" s="21">
        <f>F27+H27</f>
        <v>2.04</v>
      </c>
      <c r="K27" s="42"/>
      <c r="L27" s="20">
        <f>IF(K27&gt;=(J27-M27),(IF(K27&lt;=(I27+M27),C27,0)),0)</f>
        <v>0</v>
      </c>
      <c r="M27" s="43"/>
    </row>
    <row r="28" spans="2:13">
      <c r="B28" s="19">
        <v>21</v>
      </c>
      <c r="C28" s="20">
        <v>1</v>
      </c>
      <c r="D28" s="23" t="s">
        <v>62</v>
      </c>
      <c r="E28" s="21" t="s">
        <v>48</v>
      </c>
      <c r="F28" s="22">
        <v>12</v>
      </c>
      <c r="G28" s="22">
        <v>0.04</v>
      </c>
      <c r="H28" s="22">
        <v>0.02</v>
      </c>
      <c r="I28" s="22">
        <f>F28+G28</f>
        <v>12.04</v>
      </c>
      <c r="J28" s="21">
        <f>F28+H28</f>
        <v>12.02</v>
      </c>
      <c r="K28" s="42"/>
      <c r="L28" s="20">
        <f>IF(K28&gt;=(J28-M28),(IF(K28&lt;=(I28+M28),C28,0)),0)</f>
        <v>0</v>
      </c>
      <c r="M28" s="43"/>
    </row>
    <row r="29" spans="2:13">
      <c r="B29" s="19">
        <v>22</v>
      </c>
      <c r="C29" s="20">
        <v>1.5</v>
      </c>
      <c r="D29" s="23" t="s">
        <v>63</v>
      </c>
      <c r="E29" s="24" t="s">
        <v>50</v>
      </c>
      <c r="F29" s="22">
        <v>12</v>
      </c>
      <c r="G29" s="22">
        <v>0.016</v>
      </c>
      <c r="H29" s="22">
        <v>0</v>
      </c>
      <c r="I29" s="22">
        <f>F29+G29</f>
        <v>12.016</v>
      </c>
      <c r="J29" s="21">
        <f>F29+H29</f>
        <v>12</v>
      </c>
      <c r="K29" s="42"/>
      <c r="L29" s="20">
        <f>IF(K29&gt;=(J29-M29),(IF(K29&lt;=(I29+M29),C29,0)),0)</f>
        <v>0</v>
      </c>
      <c r="M29" s="43"/>
    </row>
    <row r="30" spans="2:13">
      <c r="B30" s="19">
        <v>23</v>
      </c>
      <c r="C30" s="20">
        <v>1</v>
      </c>
      <c r="D30" s="23" t="s">
        <v>64</v>
      </c>
      <c r="E30" s="21" t="s">
        <v>48</v>
      </c>
      <c r="F30" s="22">
        <v>96</v>
      </c>
      <c r="G30" s="22">
        <v>0</v>
      </c>
      <c r="H30" s="22">
        <v>-0.04</v>
      </c>
      <c r="I30" s="22">
        <f>F30+G30</f>
        <v>96</v>
      </c>
      <c r="J30" s="21">
        <f>F30+H30</f>
        <v>95.96</v>
      </c>
      <c r="K30" s="42"/>
      <c r="L30" s="20">
        <f>IF(K30&gt;=(J30-M30),(IF(K30&lt;=(I30+M30),C30,0)),0)</f>
        <v>0</v>
      </c>
      <c r="M30" s="43"/>
    </row>
    <row r="31" spans="2:13">
      <c r="B31" s="27" t="s">
        <v>65</v>
      </c>
      <c r="C31" s="28">
        <f>SUM(C8:C30)</f>
        <v>27</v>
      </c>
      <c r="D31" s="28"/>
      <c r="E31" s="28"/>
      <c r="F31" s="28"/>
      <c r="G31" s="28"/>
      <c r="H31" s="28"/>
      <c r="I31" s="28"/>
      <c r="J31" s="28"/>
      <c r="K31" s="44"/>
      <c r="L31" s="44">
        <f>SUM(L8:L30)</f>
        <v>3</v>
      </c>
      <c r="M31" s="45"/>
    </row>
    <row r="32" spans="2:13">
      <c r="B32" s="29"/>
      <c r="C32" s="30"/>
      <c r="D32" s="30"/>
      <c r="E32" s="30"/>
      <c r="F32" s="30"/>
      <c r="G32" s="30"/>
      <c r="H32" s="30"/>
      <c r="I32" s="30"/>
      <c r="J32" s="30"/>
      <c r="K32" s="46"/>
      <c r="L32" s="46"/>
      <c r="M32" s="30"/>
    </row>
    <row r="33" spans="2:13">
      <c r="B33" s="17" t="s">
        <v>66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41"/>
    </row>
    <row r="34" spans="2:13">
      <c r="B34" s="19">
        <v>1</v>
      </c>
      <c r="C34" s="20">
        <v>0.4</v>
      </c>
      <c r="D34" s="21" t="s">
        <v>67</v>
      </c>
      <c r="E34" s="21" t="s">
        <v>48</v>
      </c>
      <c r="F34" s="21">
        <v>7</v>
      </c>
      <c r="G34" s="21">
        <v>0.1</v>
      </c>
      <c r="H34" s="21">
        <v>-0.1</v>
      </c>
      <c r="I34" s="22">
        <f t="shared" ref="I34:I50" si="5">F34+G34</f>
        <v>7.1</v>
      </c>
      <c r="J34" s="21">
        <f t="shared" ref="J34:J50" si="6">F34+H34</f>
        <v>6.9</v>
      </c>
      <c r="K34" s="42"/>
      <c r="L34" s="20">
        <f t="shared" ref="L34:L37" si="7">IF(K34=I34,(IF(K34&lt;&gt;J34,C34,0)),0)</f>
        <v>0</v>
      </c>
      <c r="M34" s="43"/>
    </row>
    <row r="35" spans="2:13">
      <c r="B35" s="19">
        <v>2</v>
      </c>
      <c r="C35" s="20">
        <v>0.4</v>
      </c>
      <c r="D35" s="21" t="s">
        <v>68</v>
      </c>
      <c r="E35" s="21" t="s">
        <v>48</v>
      </c>
      <c r="F35" s="21">
        <v>10</v>
      </c>
      <c r="G35" s="21">
        <v>0.1</v>
      </c>
      <c r="H35" s="21">
        <v>-0.1</v>
      </c>
      <c r="I35" s="22">
        <f>F35+G35</f>
        <v>10.1</v>
      </c>
      <c r="J35" s="21">
        <f>F35+H35</f>
        <v>9.9</v>
      </c>
      <c r="K35" s="42"/>
      <c r="L35" s="20">
        <f>IF(K35=I35,(IF(K35&lt;&gt;J35,C35,0)),0)</f>
        <v>0</v>
      </c>
      <c r="M35" s="43"/>
    </row>
    <row r="36" spans="2:13">
      <c r="B36" s="19">
        <v>3</v>
      </c>
      <c r="C36" s="20">
        <v>0.4</v>
      </c>
      <c r="D36" s="21" t="s">
        <v>67</v>
      </c>
      <c r="E36" s="21" t="s">
        <v>48</v>
      </c>
      <c r="F36" s="21">
        <v>8</v>
      </c>
      <c r="G36" s="21">
        <v>0.1</v>
      </c>
      <c r="H36" s="21">
        <v>-0.1</v>
      </c>
      <c r="I36" s="22">
        <f>F36+G36</f>
        <v>8.1</v>
      </c>
      <c r="J36" s="21">
        <f>F36+H36</f>
        <v>7.9</v>
      </c>
      <c r="K36" s="42"/>
      <c r="L36" s="20">
        <f>IF(K36=I36,(IF(K36&lt;&gt;J36,C36,0)),0)</f>
        <v>0</v>
      </c>
      <c r="M36" s="43"/>
    </row>
    <row r="37" spans="2:13">
      <c r="B37" s="19">
        <v>4</v>
      </c>
      <c r="C37" s="20">
        <v>0.4</v>
      </c>
      <c r="D37" s="23" t="s">
        <v>67</v>
      </c>
      <c r="E37" s="21" t="s">
        <v>48</v>
      </c>
      <c r="F37" s="21">
        <v>14</v>
      </c>
      <c r="G37" s="21">
        <v>0.1</v>
      </c>
      <c r="H37" s="21">
        <v>-0.1</v>
      </c>
      <c r="I37" s="22">
        <f>F37+G37</f>
        <v>14.1</v>
      </c>
      <c r="J37" s="21">
        <f>F37+H37</f>
        <v>13.9</v>
      </c>
      <c r="K37" s="42"/>
      <c r="L37" s="20">
        <f>IF(K37=I37,(IF(K37&lt;&gt;J37,C37,0)),0)</f>
        <v>0</v>
      </c>
      <c r="M37" s="43"/>
    </row>
    <row r="38" spans="2:13">
      <c r="B38" s="19">
        <v>5</v>
      </c>
      <c r="C38" s="20">
        <v>0.4</v>
      </c>
      <c r="D38" s="21" t="s">
        <v>49</v>
      </c>
      <c r="E38" s="21" t="s">
        <v>48</v>
      </c>
      <c r="F38" s="21">
        <v>10</v>
      </c>
      <c r="G38" s="21">
        <v>0.1</v>
      </c>
      <c r="H38" s="21">
        <v>-0.1</v>
      </c>
      <c r="I38" s="22">
        <f>F38+G38</f>
        <v>10.1</v>
      </c>
      <c r="J38" s="21">
        <f>F38+H38</f>
        <v>9.9</v>
      </c>
      <c r="K38" s="42"/>
      <c r="L38" s="20">
        <f t="shared" ref="L38:L56" si="8">IF(K38&gt;=(J38-M38),(IF(K38&lt;=(I38+M38),C38,0)),0)</f>
        <v>0</v>
      </c>
      <c r="M38" s="43"/>
    </row>
    <row r="39" spans="2:13">
      <c r="B39" s="19">
        <v>6</v>
      </c>
      <c r="C39" s="20">
        <v>0.4</v>
      </c>
      <c r="D39" s="23" t="s">
        <v>69</v>
      </c>
      <c r="E39" s="21" t="s">
        <v>48</v>
      </c>
      <c r="F39" s="21">
        <v>14</v>
      </c>
      <c r="G39" s="21">
        <v>0.1</v>
      </c>
      <c r="H39" s="21">
        <v>-0.1</v>
      </c>
      <c r="I39" s="22">
        <f>F39+G39</f>
        <v>14.1</v>
      </c>
      <c r="J39" s="21">
        <f>F39+H39</f>
        <v>13.9</v>
      </c>
      <c r="K39" s="42"/>
      <c r="L39" s="20">
        <f>IF(K39&gt;=(J39-M39),(IF(K39&lt;=(I39+M39),C39,0)),0)</f>
        <v>0</v>
      </c>
      <c r="M39" s="43"/>
    </row>
    <row r="40" spans="2:13">
      <c r="B40" s="19">
        <v>7</v>
      </c>
      <c r="C40" s="20">
        <v>0.4</v>
      </c>
      <c r="D40" s="21" t="s">
        <v>51</v>
      </c>
      <c r="E40" s="21" t="s">
        <v>48</v>
      </c>
      <c r="F40" s="21">
        <v>6</v>
      </c>
      <c r="G40" s="21">
        <v>0.5</v>
      </c>
      <c r="H40" s="21">
        <v>-0.5</v>
      </c>
      <c r="I40" s="22">
        <f>F40+G40</f>
        <v>6.5</v>
      </c>
      <c r="J40" s="21">
        <f>F40+H40</f>
        <v>5.5</v>
      </c>
      <c r="K40" s="42"/>
      <c r="L40" s="20">
        <f>IF(K40&gt;=(J40-M40),(IF(K40&lt;=(I40+M40),C40,0)),0)</f>
        <v>0</v>
      </c>
      <c r="M40" s="43"/>
    </row>
    <row r="41" spans="2:13">
      <c r="B41" s="19">
        <v>8</v>
      </c>
      <c r="C41" s="20">
        <v>0.4</v>
      </c>
      <c r="D41" s="21" t="s">
        <v>70</v>
      </c>
      <c r="E41" s="21" t="s">
        <v>48</v>
      </c>
      <c r="F41" s="21">
        <v>16</v>
      </c>
      <c r="G41" s="21">
        <v>0.1</v>
      </c>
      <c r="H41" s="21">
        <v>-0.1</v>
      </c>
      <c r="I41" s="22">
        <f>F41+G41</f>
        <v>16.1</v>
      </c>
      <c r="J41" s="21">
        <f>F41+H41</f>
        <v>15.9</v>
      </c>
      <c r="K41" s="42"/>
      <c r="L41" s="20">
        <f>IF(K41&gt;=(J41-M41),(IF(K41&lt;=(I41+M41),C41,0)),0)</f>
        <v>0</v>
      </c>
      <c r="M41" s="43"/>
    </row>
    <row r="42" spans="2:13">
      <c r="B42" s="19">
        <v>9</v>
      </c>
      <c r="C42" s="20">
        <v>0.4</v>
      </c>
      <c r="D42" s="21" t="s">
        <v>71</v>
      </c>
      <c r="E42" s="21" t="s">
        <v>48</v>
      </c>
      <c r="F42" s="21">
        <v>6</v>
      </c>
      <c r="G42" s="21">
        <v>0.1</v>
      </c>
      <c r="H42" s="21">
        <v>-0.1</v>
      </c>
      <c r="I42" s="22">
        <f>F42+G42</f>
        <v>6.1</v>
      </c>
      <c r="J42" s="21">
        <f>F42+H42</f>
        <v>5.9</v>
      </c>
      <c r="K42" s="42"/>
      <c r="L42" s="20">
        <f>IF(K42&gt;=(J42-M42),(IF(K42&lt;=(I42+M42),C42,0)),0)</f>
        <v>0</v>
      </c>
      <c r="M42" s="43"/>
    </row>
    <row r="43" spans="2:13">
      <c r="B43" s="19">
        <v>10</v>
      </c>
      <c r="C43" s="20">
        <v>0.4</v>
      </c>
      <c r="D43" s="21" t="s">
        <v>71</v>
      </c>
      <c r="E43" s="21" t="s">
        <v>48</v>
      </c>
      <c r="F43" s="21">
        <v>17</v>
      </c>
      <c r="G43" s="21">
        <v>0.1</v>
      </c>
      <c r="H43" s="21">
        <v>-0.1</v>
      </c>
      <c r="I43" s="22">
        <f>F43+G43</f>
        <v>17.1</v>
      </c>
      <c r="J43" s="21">
        <f>F43+H43</f>
        <v>16.9</v>
      </c>
      <c r="K43" s="42"/>
      <c r="L43" s="20">
        <f>IF(K43&gt;=(J43-M43),(IF(K43&lt;=(I43+M43),C43,0)),0)</f>
        <v>0</v>
      </c>
      <c r="M43" s="43"/>
    </row>
    <row r="44" spans="2:13">
      <c r="B44" s="19">
        <v>11</v>
      </c>
      <c r="C44" s="20">
        <v>0.4</v>
      </c>
      <c r="D44" s="21" t="s">
        <v>71</v>
      </c>
      <c r="E44" s="21" t="s">
        <v>48</v>
      </c>
      <c r="F44" s="21">
        <v>12</v>
      </c>
      <c r="G44" s="21">
        <v>0.1</v>
      </c>
      <c r="H44" s="21">
        <v>-0.1</v>
      </c>
      <c r="I44" s="22">
        <f>F44+G44</f>
        <v>12.1</v>
      </c>
      <c r="J44" s="21">
        <f>F44+H44</f>
        <v>11.9</v>
      </c>
      <c r="K44" s="42"/>
      <c r="L44" s="20">
        <f>IF(K44&gt;=(J44-M44),(IF(K44&lt;=(I44+M44),C44,0)),0)</f>
        <v>0</v>
      </c>
      <c r="M44" s="43"/>
    </row>
    <row r="45" spans="2:13">
      <c r="B45" s="19">
        <v>12</v>
      </c>
      <c r="C45" s="20">
        <v>0.4</v>
      </c>
      <c r="D45" s="23" t="s">
        <v>72</v>
      </c>
      <c r="E45" s="21" t="s">
        <v>48</v>
      </c>
      <c r="F45" s="21">
        <v>46</v>
      </c>
      <c r="G45" s="21">
        <v>0.1</v>
      </c>
      <c r="H45" s="21">
        <v>-0.1</v>
      </c>
      <c r="I45" s="22">
        <f>F45+G45</f>
        <v>46.1</v>
      </c>
      <c r="J45" s="21">
        <f>F45+H45</f>
        <v>45.9</v>
      </c>
      <c r="K45" s="42"/>
      <c r="L45" s="20">
        <f>IF(K45&gt;=(J45-M45),(IF(K45&lt;=(I45+M45),C45,0)),0)</f>
        <v>0</v>
      </c>
      <c r="M45" s="43"/>
    </row>
    <row r="46" spans="2:13">
      <c r="B46" s="19">
        <v>13</v>
      </c>
      <c r="C46" s="20">
        <v>0.4</v>
      </c>
      <c r="D46" s="23" t="s">
        <v>72</v>
      </c>
      <c r="E46" s="21" t="s">
        <v>48</v>
      </c>
      <c r="F46" s="21">
        <v>30</v>
      </c>
      <c r="G46" s="21">
        <v>0.1</v>
      </c>
      <c r="H46" s="21">
        <v>-0.1</v>
      </c>
      <c r="I46" s="22">
        <f>F46+G46</f>
        <v>30.1</v>
      </c>
      <c r="J46" s="21">
        <f>F46+H46</f>
        <v>29.9</v>
      </c>
      <c r="K46" s="42"/>
      <c r="L46" s="20">
        <f>IF(K46&gt;=(J46-M46),(IF(K46&lt;=(I46+M46),C46,0)),0)</f>
        <v>0</v>
      </c>
      <c r="M46" s="43"/>
    </row>
    <row r="47" spans="2:13">
      <c r="B47" s="19">
        <v>14</v>
      </c>
      <c r="C47" s="20">
        <v>0.4</v>
      </c>
      <c r="D47" s="21" t="s">
        <v>54</v>
      </c>
      <c r="E47" s="21" t="s">
        <v>48</v>
      </c>
      <c r="F47" s="21">
        <v>13</v>
      </c>
      <c r="G47" s="21">
        <v>0.1</v>
      </c>
      <c r="H47" s="21">
        <v>-0.1</v>
      </c>
      <c r="I47" s="22">
        <f>F47+G47</f>
        <v>13.1</v>
      </c>
      <c r="J47" s="21">
        <f>F47+H47</f>
        <v>12.9</v>
      </c>
      <c r="K47" s="42"/>
      <c r="L47" s="20">
        <f>IF(K47&gt;=(J47-M47),(IF(K47&lt;=(I47+M47),C47,0)),0)</f>
        <v>0</v>
      </c>
      <c r="M47" s="43"/>
    </row>
    <row r="48" spans="2:13">
      <c r="B48" s="19">
        <v>15</v>
      </c>
      <c r="C48" s="20">
        <v>0.4</v>
      </c>
      <c r="D48" s="21" t="s">
        <v>63</v>
      </c>
      <c r="E48" s="21" t="s">
        <v>48</v>
      </c>
      <c r="F48" s="21">
        <v>4</v>
      </c>
      <c r="G48" s="21">
        <v>0.1</v>
      </c>
      <c r="H48" s="21">
        <v>-0.1</v>
      </c>
      <c r="I48" s="22">
        <f>F48+G48</f>
        <v>4.1</v>
      </c>
      <c r="J48" s="21">
        <f>F48+H48</f>
        <v>3.9</v>
      </c>
      <c r="K48" s="42"/>
      <c r="L48" s="20">
        <f>IF(K48&gt;=(J48-M48),(IF(K48&lt;=(I48+M48),C48,0)),0)</f>
        <v>0</v>
      </c>
      <c r="M48" s="43"/>
    </row>
    <row r="49" spans="2:13">
      <c r="B49" s="19">
        <v>16</v>
      </c>
      <c r="C49" s="20">
        <v>0.4</v>
      </c>
      <c r="D49" s="21" t="s">
        <v>63</v>
      </c>
      <c r="E49" s="21" t="s">
        <v>48</v>
      </c>
      <c r="F49" s="21">
        <v>7</v>
      </c>
      <c r="G49" s="21">
        <v>0.1</v>
      </c>
      <c r="H49" s="21">
        <v>-0.1</v>
      </c>
      <c r="I49" s="22">
        <f>F49+G49</f>
        <v>7.1</v>
      </c>
      <c r="J49" s="21">
        <f>F49+H49</f>
        <v>6.9</v>
      </c>
      <c r="K49" s="42"/>
      <c r="L49" s="20">
        <f>IF(K49&gt;=(J49-M49),(IF(K49&lt;=(I49+M49),C49,0)),0)</f>
        <v>0</v>
      </c>
      <c r="M49" s="43"/>
    </row>
    <row r="50" spans="2:13">
      <c r="B50" s="19">
        <v>17</v>
      </c>
      <c r="C50" s="20">
        <v>0.4</v>
      </c>
      <c r="D50" s="21" t="s">
        <v>59</v>
      </c>
      <c r="E50" s="21" t="s">
        <v>48</v>
      </c>
      <c r="F50" s="21">
        <v>32</v>
      </c>
      <c r="G50" s="21">
        <v>0.1</v>
      </c>
      <c r="H50" s="21">
        <v>-0.1</v>
      </c>
      <c r="I50" s="22">
        <f>F50+G50</f>
        <v>32.1</v>
      </c>
      <c r="J50" s="21">
        <f>F50+H50</f>
        <v>31.9</v>
      </c>
      <c r="K50" s="42"/>
      <c r="L50" s="20">
        <f>IF(K50&gt;=(J50-M50),(IF(K50&lt;=(I50+M50),C50,0)),0)</f>
        <v>0</v>
      </c>
      <c r="M50" s="43"/>
    </row>
    <row r="51" spans="2:13">
      <c r="B51" s="19">
        <v>18</v>
      </c>
      <c r="C51" s="20">
        <v>1.5</v>
      </c>
      <c r="D51" s="21" t="s">
        <v>73</v>
      </c>
      <c r="E51" s="21" t="s">
        <v>74</v>
      </c>
      <c r="F51" s="21">
        <v>10</v>
      </c>
      <c r="G51" s="21"/>
      <c r="H51" s="21"/>
      <c r="I51" s="21" t="s">
        <v>75</v>
      </c>
      <c r="J51" s="21" t="s">
        <v>76</v>
      </c>
      <c r="K51" s="42"/>
      <c r="L51" s="20">
        <f t="shared" ref="L51:L53" si="9">IF(K51=I51,(IF(K51&lt;&gt;J51,C51,0)),0)</f>
        <v>0</v>
      </c>
      <c r="M51" s="43"/>
    </row>
    <row r="52" spans="2:13">
      <c r="B52" s="19">
        <v>19</v>
      </c>
      <c r="C52" s="20">
        <v>1.1</v>
      </c>
      <c r="D52" s="21" t="s">
        <v>56</v>
      </c>
      <c r="E52" s="21" t="s">
        <v>74</v>
      </c>
      <c r="F52" s="21">
        <v>30</v>
      </c>
      <c r="G52" s="21"/>
      <c r="H52" s="21"/>
      <c r="I52" s="21" t="s">
        <v>75</v>
      </c>
      <c r="J52" s="21" t="s">
        <v>76</v>
      </c>
      <c r="K52" s="42"/>
      <c r="L52" s="20">
        <f>IF(K52=I52,(IF(K52&lt;&gt;J52,C52,0)),0)</f>
        <v>0</v>
      </c>
      <c r="M52" s="43"/>
    </row>
    <row r="53" spans="2:13">
      <c r="B53" s="19">
        <v>20</v>
      </c>
      <c r="C53" s="20">
        <v>1.1</v>
      </c>
      <c r="D53" s="21" t="s">
        <v>62</v>
      </c>
      <c r="E53" s="21" t="s">
        <v>74</v>
      </c>
      <c r="F53" s="21">
        <v>6</v>
      </c>
      <c r="G53" s="21"/>
      <c r="H53" s="21"/>
      <c r="I53" s="21" t="s">
        <v>75</v>
      </c>
      <c r="J53" s="21" t="s">
        <v>76</v>
      </c>
      <c r="K53" s="42"/>
      <c r="L53" s="20">
        <f>IF(K53=I53,(IF(K53&lt;&gt;J53,C53,0)),0)</f>
        <v>0</v>
      </c>
      <c r="M53" s="43"/>
    </row>
    <row r="54" spans="2:13">
      <c r="B54" s="27" t="s">
        <v>65</v>
      </c>
      <c r="C54" s="28">
        <f>SUM(C34:C53)</f>
        <v>10.5</v>
      </c>
      <c r="D54" s="28"/>
      <c r="E54" s="28"/>
      <c r="F54" s="28"/>
      <c r="G54" s="28"/>
      <c r="H54" s="28"/>
      <c r="I54" s="28"/>
      <c r="J54" s="28"/>
      <c r="K54" s="44"/>
      <c r="L54" s="28">
        <f>SUM(L34:L53)</f>
        <v>0</v>
      </c>
      <c r="M54" s="45"/>
    </row>
    <row r="55" spans="2:13">
      <c r="B55" s="29"/>
      <c r="C55" s="30"/>
      <c r="D55" s="30"/>
      <c r="E55" s="30"/>
      <c r="F55" s="30"/>
      <c r="G55" s="30"/>
      <c r="H55" s="30"/>
      <c r="I55" s="30"/>
      <c r="J55" s="30"/>
      <c r="K55" s="46"/>
      <c r="L55" s="30"/>
      <c r="M55" s="30"/>
    </row>
    <row r="56" spans="2:13">
      <c r="B56" s="17" t="s">
        <v>77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41"/>
    </row>
    <row r="57" spans="2:13">
      <c r="B57" s="19">
        <v>1</v>
      </c>
      <c r="C57" s="20">
        <v>0.9</v>
      </c>
      <c r="D57" s="21" t="s">
        <v>67</v>
      </c>
      <c r="E57" s="20" t="s">
        <v>78</v>
      </c>
      <c r="F57" s="20" t="s">
        <v>79</v>
      </c>
      <c r="G57" s="20">
        <v>0.8</v>
      </c>
      <c r="H57" s="31">
        <v>1e-8</v>
      </c>
      <c r="I57" s="20">
        <f t="shared" ref="I57:I61" si="10">SUM(G57)</f>
        <v>0.8</v>
      </c>
      <c r="J57" s="31">
        <f t="shared" ref="J57:J61" si="11">SUM(H57)</f>
        <v>1e-8</v>
      </c>
      <c r="K57" s="42"/>
      <c r="L57" s="20">
        <f t="shared" ref="L57:L61" si="12">IF(K57&gt;=(J57-M57),(IF(K57&lt;=(I57+M57),C57,0)),0)</f>
        <v>0</v>
      </c>
      <c r="M57" s="43"/>
    </row>
    <row r="58" spans="2:13">
      <c r="B58" s="19">
        <v>2</v>
      </c>
      <c r="C58" s="20">
        <v>0.9</v>
      </c>
      <c r="D58" s="21" t="s">
        <v>80</v>
      </c>
      <c r="E58" s="20" t="s">
        <v>78</v>
      </c>
      <c r="F58" s="20" t="s">
        <v>79</v>
      </c>
      <c r="G58" s="20">
        <v>0.8</v>
      </c>
      <c r="H58" s="31">
        <v>1e-8</v>
      </c>
      <c r="I58" s="20">
        <f>SUM(G58)</f>
        <v>0.8</v>
      </c>
      <c r="J58" s="31">
        <f>SUM(H58)</f>
        <v>1e-8</v>
      </c>
      <c r="K58" s="42"/>
      <c r="L58" s="20">
        <f>IF(K58&gt;=(J58-M58),(IF(K58&lt;=(I58+M58),C58,0)),0)</f>
        <v>0</v>
      </c>
      <c r="M58" s="43"/>
    </row>
    <row r="59" spans="2:13">
      <c r="B59" s="19">
        <v>3</v>
      </c>
      <c r="C59" s="20">
        <v>0.9</v>
      </c>
      <c r="D59" s="21" t="s">
        <v>54</v>
      </c>
      <c r="E59" s="20" t="s">
        <v>78</v>
      </c>
      <c r="F59" s="20" t="s">
        <v>79</v>
      </c>
      <c r="G59" s="20">
        <v>0.8</v>
      </c>
      <c r="H59" s="31">
        <v>1e-8</v>
      </c>
      <c r="I59" s="20">
        <f>SUM(G59)</f>
        <v>0.8</v>
      </c>
      <c r="J59" s="31">
        <f>SUM(H59)</f>
        <v>1e-8</v>
      </c>
      <c r="K59" s="42"/>
      <c r="L59" s="20">
        <f>IF(K59&gt;=(J59-M59),(IF(K59&lt;=(I59+M59),C59,0)),0)</f>
        <v>0</v>
      </c>
      <c r="M59" s="43"/>
    </row>
    <row r="60" spans="2:13">
      <c r="B60" s="19">
        <v>4</v>
      </c>
      <c r="C60" s="20">
        <v>0.9</v>
      </c>
      <c r="D60" s="21" t="s">
        <v>52</v>
      </c>
      <c r="E60" s="20" t="s">
        <v>78</v>
      </c>
      <c r="F60" s="20" t="s">
        <v>79</v>
      </c>
      <c r="G60" s="20">
        <v>0.8</v>
      </c>
      <c r="H60" s="31">
        <v>1e-8</v>
      </c>
      <c r="I60" s="20">
        <f>SUM(G60)</f>
        <v>0.8</v>
      </c>
      <c r="J60" s="31">
        <f>SUM(H60)</f>
        <v>1e-8</v>
      </c>
      <c r="K60" s="42"/>
      <c r="L60" s="20">
        <f>IF(K60&gt;=(J60-M60),(IF(K60&lt;=(I60+M60),C60,0)),0)</f>
        <v>0</v>
      </c>
      <c r="M60" s="43"/>
    </row>
    <row r="61" spans="2:13">
      <c r="B61" s="19">
        <v>5</v>
      </c>
      <c r="C61" s="20">
        <v>0.9</v>
      </c>
      <c r="D61" s="21" t="s">
        <v>81</v>
      </c>
      <c r="E61" s="20" t="s">
        <v>78</v>
      </c>
      <c r="F61" s="20" t="s">
        <v>79</v>
      </c>
      <c r="G61" s="20">
        <v>0.8</v>
      </c>
      <c r="H61" s="31">
        <v>1e-8</v>
      </c>
      <c r="I61" s="20">
        <f>SUM(G61)</f>
        <v>0.8</v>
      </c>
      <c r="J61" s="31">
        <f>SUM(H61)</f>
        <v>1e-8</v>
      </c>
      <c r="K61" s="42"/>
      <c r="L61" s="20">
        <f>IF(K61&gt;=(J61-M61),(IF(K61&lt;=(I61+M61),C61,0)),0)</f>
        <v>0</v>
      </c>
      <c r="M61" s="43"/>
    </row>
    <row r="62" spans="2:13">
      <c r="B62" s="27" t="s">
        <v>65</v>
      </c>
      <c r="C62" s="28">
        <f>SUM(C57:C61)</f>
        <v>4.5</v>
      </c>
      <c r="D62" s="28"/>
      <c r="E62" s="28"/>
      <c r="F62" s="28"/>
      <c r="G62" s="28"/>
      <c r="H62" s="28"/>
      <c r="I62" s="28"/>
      <c r="J62" s="28"/>
      <c r="K62" s="44"/>
      <c r="L62" s="28">
        <f>SUM(L57:L61)</f>
        <v>0</v>
      </c>
      <c r="M62" s="45"/>
    </row>
    <row r="63" spans="2:13">
      <c r="B63" s="29"/>
      <c r="C63" s="30"/>
      <c r="D63" s="30"/>
      <c r="E63" s="30"/>
      <c r="F63" s="30"/>
      <c r="G63" s="30"/>
      <c r="H63" s="30"/>
      <c r="I63" s="30"/>
      <c r="J63" s="30"/>
      <c r="K63" s="46"/>
      <c r="L63" s="30"/>
      <c r="M63" s="30"/>
    </row>
    <row r="64" spans="2:13">
      <c r="B64" s="17" t="s">
        <v>82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41"/>
    </row>
    <row r="65" spans="2:13">
      <c r="B65" s="19"/>
      <c r="C65" s="20"/>
      <c r="D65" s="20"/>
      <c r="E65" s="20"/>
      <c r="F65" s="20"/>
      <c r="G65" s="20">
        <v>1</v>
      </c>
      <c r="H65" s="20">
        <v>2</v>
      </c>
      <c r="I65" s="20">
        <v>3</v>
      </c>
      <c r="J65" s="20">
        <v>4</v>
      </c>
      <c r="K65" s="20">
        <v>5</v>
      </c>
      <c r="L65" s="20"/>
      <c r="M65" s="43"/>
    </row>
    <row r="66" spans="2:13">
      <c r="B66" s="19">
        <v>1</v>
      </c>
      <c r="C66">
        <v>1.2</v>
      </c>
      <c r="D66" s="47" t="s">
        <v>83</v>
      </c>
      <c r="E66" s="48"/>
      <c r="F66" s="49"/>
      <c r="G66" s="42"/>
      <c r="H66" s="42"/>
      <c r="I66" s="42"/>
      <c r="J66" s="42"/>
      <c r="K66" s="42"/>
      <c r="L66" s="20">
        <f t="shared" ref="L66:L71" si="13">SUM(C66*(W66-V66-U66)/30)</f>
        <v>0</v>
      </c>
      <c r="M66" s="43"/>
    </row>
    <row r="67" spans="2:13">
      <c r="B67" s="19">
        <v>2</v>
      </c>
      <c r="C67">
        <v>0.76</v>
      </c>
      <c r="D67" s="47" t="s">
        <v>84</v>
      </c>
      <c r="E67" s="48"/>
      <c r="F67" s="49"/>
      <c r="G67" s="42"/>
      <c r="H67" s="42"/>
      <c r="I67" s="42"/>
      <c r="J67" s="42"/>
      <c r="K67" s="42"/>
      <c r="L67" s="20">
        <f>SUM(C67*(W67-V67-U67)/30)</f>
        <v>0</v>
      </c>
      <c r="M67" s="43"/>
    </row>
    <row r="68" spans="2:13">
      <c r="B68" s="19">
        <v>3</v>
      </c>
      <c r="C68">
        <v>0.9</v>
      </c>
      <c r="D68" s="47" t="s">
        <v>85</v>
      </c>
      <c r="E68" s="48"/>
      <c r="F68" s="49"/>
      <c r="G68" s="42"/>
      <c r="H68" s="42"/>
      <c r="I68" s="42"/>
      <c r="J68" s="42"/>
      <c r="K68" s="42"/>
      <c r="L68" s="20">
        <f>SUM(C68*(W68-V68-U68)/30)</f>
        <v>0</v>
      </c>
      <c r="M68" s="43"/>
    </row>
    <row r="69" spans="2:13">
      <c r="B69" s="19">
        <v>4</v>
      </c>
      <c r="C69">
        <v>1.07</v>
      </c>
      <c r="D69" s="47" t="s">
        <v>86</v>
      </c>
      <c r="E69" s="48"/>
      <c r="F69" s="49"/>
      <c r="G69" s="42"/>
      <c r="H69" s="42"/>
      <c r="I69" s="42"/>
      <c r="J69" s="42"/>
      <c r="K69" s="42"/>
      <c r="L69" s="20">
        <f>SUM(C69*(W69-V69-U69)/30)</f>
        <v>0</v>
      </c>
      <c r="M69" s="43"/>
    </row>
    <row r="70" spans="2:13">
      <c r="B70" s="50">
        <v>5</v>
      </c>
      <c r="C70">
        <v>1.07</v>
      </c>
      <c r="D70" s="47" t="s">
        <v>87</v>
      </c>
      <c r="E70" s="51"/>
      <c r="F70" s="52"/>
      <c r="G70" s="42"/>
      <c r="H70" s="42"/>
      <c r="I70" s="42"/>
      <c r="J70" s="42"/>
      <c r="K70" s="42"/>
      <c r="L70" s="20">
        <f>SUM(C70*(W70-V70-U70)/30)</f>
        <v>0</v>
      </c>
      <c r="M70" s="43"/>
    </row>
    <row r="71" spans="2:13">
      <c r="B71" s="50">
        <v>6</v>
      </c>
      <c r="C71" s="20"/>
      <c r="D71" s="53"/>
      <c r="E71" s="48"/>
      <c r="F71" s="49"/>
      <c r="G71" s="54"/>
      <c r="H71" s="54"/>
      <c r="I71" s="54"/>
      <c r="J71" s="54"/>
      <c r="K71" s="54"/>
      <c r="L71" s="20">
        <f>SUM(C71*(W71-V71-U71)/30)</f>
        <v>0</v>
      </c>
      <c r="M71" s="43"/>
    </row>
    <row r="72" spans="2:13">
      <c r="B72" s="50"/>
      <c r="C72" s="20"/>
      <c r="D72" s="55"/>
      <c r="E72" s="20"/>
      <c r="F72" s="20"/>
      <c r="G72" s="56" t="s">
        <v>88</v>
      </c>
      <c r="H72" s="56" t="s">
        <v>88</v>
      </c>
      <c r="I72" s="56" t="s">
        <v>88</v>
      </c>
      <c r="J72" s="56" t="s">
        <v>88</v>
      </c>
      <c r="K72" s="56" t="s">
        <v>88</v>
      </c>
      <c r="L72" s="20"/>
      <c r="M72" s="43"/>
    </row>
    <row r="73" spans="2:13">
      <c r="B73" s="50"/>
      <c r="C73" s="20"/>
      <c r="D73" s="20"/>
      <c r="E73" s="20"/>
      <c r="F73" s="20"/>
      <c r="G73" s="57"/>
      <c r="H73" s="57"/>
      <c r="I73" s="57"/>
      <c r="J73" s="57"/>
      <c r="K73" s="57"/>
      <c r="L73" s="20"/>
      <c r="M73" s="82"/>
    </row>
    <row r="74" spans="2:13">
      <c r="B74" s="50"/>
      <c r="C74" s="20"/>
      <c r="D74" s="20"/>
      <c r="E74" s="20"/>
      <c r="F74" s="20"/>
      <c r="G74" s="57"/>
      <c r="H74" s="57"/>
      <c r="I74" s="57"/>
      <c r="J74" s="57"/>
      <c r="K74" s="57"/>
      <c r="L74" s="20"/>
      <c r="M74" s="82"/>
    </row>
    <row r="75" spans="2:13">
      <c r="B75" s="50"/>
      <c r="C75" s="20"/>
      <c r="D75" s="20"/>
      <c r="E75" s="20"/>
      <c r="F75" s="20"/>
      <c r="G75" s="57"/>
      <c r="H75" s="57"/>
      <c r="I75" s="57"/>
      <c r="J75" s="57"/>
      <c r="K75" s="57"/>
      <c r="L75" s="20"/>
      <c r="M75" s="82"/>
    </row>
    <row r="76" spans="2:13">
      <c r="B76" s="50"/>
      <c r="C76" s="20"/>
      <c r="D76" s="20"/>
      <c r="E76" s="20"/>
      <c r="F76" s="20"/>
      <c r="G76" s="57"/>
      <c r="H76" s="57"/>
      <c r="I76" s="57"/>
      <c r="J76" s="57"/>
      <c r="K76" s="57"/>
      <c r="L76" s="20"/>
      <c r="M76" s="82"/>
    </row>
    <row r="77" spans="2:13">
      <c r="B77" s="58"/>
      <c r="C77" s="59"/>
      <c r="D77" s="59"/>
      <c r="E77" s="59"/>
      <c r="F77" s="59"/>
      <c r="G77" s="60"/>
      <c r="H77" s="60"/>
      <c r="I77" s="60"/>
      <c r="J77" s="60"/>
      <c r="K77" s="60"/>
      <c r="L77" s="59"/>
      <c r="M77" s="83"/>
    </row>
    <row r="78" spans="2:13">
      <c r="B78" s="61" t="s">
        <v>65</v>
      </c>
      <c r="C78" s="62">
        <f>SUM(C66:C77)</f>
        <v>5</v>
      </c>
      <c r="D78" s="28"/>
      <c r="E78" s="28"/>
      <c r="F78" s="28"/>
      <c r="G78" s="28"/>
      <c r="H78" s="28"/>
      <c r="I78" s="28"/>
      <c r="J78" s="28"/>
      <c r="K78" s="28"/>
      <c r="L78" s="62">
        <f>SUM(L66:L77)</f>
        <v>0</v>
      </c>
      <c r="M78" s="84"/>
    </row>
    <row r="79" spans="2:13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1"/>
    </row>
    <row r="80" spans="2:13">
      <c r="B80" s="17" t="s">
        <v>89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41"/>
    </row>
    <row r="81" spans="2:13">
      <c r="B81" s="63">
        <v>1</v>
      </c>
      <c r="C81" s="59">
        <v>3</v>
      </c>
      <c r="D81" s="64" t="s">
        <v>90</v>
      </c>
      <c r="E81" s="65"/>
      <c r="F81" s="66"/>
      <c r="G81" s="59"/>
      <c r="H81" s="59"/>
      <c r="I81" s="59"/>
      <c r="J81" s="59"/>
      <c r="K81" s="54"/>
      <c r="L81" s="59">
        <f>IF(K81=0,C81,(K81-1)*(-C81))</f>
        <v>3</v>
      </c>
      <c r="M81" s="85"/>
    </row>
    <row r="82" s="1" customFormat="1" spans="2:13">
      <c r="B82" s="67" t="s">
        <v>65</v>
      </c>
      <c r="C82" s="62">
        <f>SUM(C81)</f>
        <v>3</v>
      </c>
      <c r="D82" s="68"/>
      <c r="E82" s="68"/>
      <c r="F82" s="68"/>
      <c r="G82" s="69"/>
      <c r="H82" s="69"/>
      <c r="I82" s="69"/>
      <c r="J82" s="69"/>
      <c r="K82" s="69"/>
      <c r="L82" s="62">
        <f>SUM(L81)</f>
        <v>3</v>
      </c>
      <c r="M82" s="84"/>
    </row>
    <row r="83" s="1" customFormat="1" spans="2:12">
      <c r="B83" s="30"/>
      <c r="C83" s="30"/>
      <c r="G83" s="70"/>
      <c r="H83" s="70"/>
      <c r="I83" s="70"/>
      <c r="J83" s="70"/>
      <c r="K83" s="70"/>
      <c r="L83" s="30"/>
    </row>
    <row r="84" spans="2:13">
      <c r="B84" s="67"/>
      <c r="C84" s="62"/>
      <c r="D84" s="71"/>
      <c r="E84" s="28"/>
      <c r="F84" s="28"/>
      <c r="G84" s="28"/>
      <c r="H84" s="28"/>
      <c r="I84" s="86"/>
      <c r="J84" s="71" t="s">
        <v>91</v>
      </c>
      <c r="K84" s="86"/>
      <c r="L84" s="71" t="s">
        <v>92</v>
      </c>
      <c r="M84" s="45"/>
    </row>
    <row r="85" spans="2:13">
      <c r="B85" s="72"/>
      <c r="C85" s="73"/>
      <c r="D85" s="74" t="s">
        <v>93</v>
      </c>
      <c r="E85" s="75"/>
      <c r="F85" s="75"/>
      <c r="G85" s="75"/>
      <c r="H85" s="75"/>
      <c r="I85" s="87"/>
      <c r="J85" s="88"/>
      <c r="K85" s="89"/>
      <c r="L85" s="88"/>
      <c r="M85" s="90"/>
    </row>
    <row r="86" spans="2:13">
      <c r="B86" s="19"/>
      <c r="C86" s="20"/>
      <c r="D86" s="76" t="s">
        <v>94</v>
      </c>
      <c r="E86" s="77"/>
      <c r="F86" s="77"/>
      <c r="G86" s="77"/>
      <c r="H86" s="77"/>
      <c r="I86" s="91"/>
      <c r="J86" s="92"/>
      <c r="K86" s="93"/>
      <c r="L86" s="92"/>
      <c r="M86" s="94"/>
    </row>
    <row r="87" spans="2:13">
      <c r="B87" s="19"/>
      <c r="C87" s="20"/>
      <c r="D87" s="76" t="s">
        <v>95</v>
      </c>
      <c r="E87" s="77"/>
      <c r="F87" s="77"/>
      <c r="G87" s="77"/>
      <c r="H87" s="77"/>
      <c r="I87" s="91"/>
      <c r="J87" s="92"/>
      <c r="K87" s="93"/>
      <c r="L87" s="92"/>
      <c r="M87" s="94"/>
    </row>
    <row r="88" spans="2:13">
      <c r="B88" s="78"/>
      <c r="C88" s="79"/>
      <c r="D88" s="80" t="s">
        <v>96</v>
      </c>
      <c r="E88" s="81"/>
      <c r="F88" s="81"/>
      <c r="G88" s="81"/>
      <c r="H88" s="81"/>
      <c r="I88" s="95"/>
      <c r="J88" s="96"/>
      <c r="K88" s="97"/>
      <c r="L88" s="96"/>
      <c r="M88" s="98"/>
    </row>
  </sheetData>
  <protectedRanges>
    <protectedRange sqref="K81" name="区域5" securityDescriptor=""/>
    <protectedRange sqref="G66:K77" name="区域4" securityDescriptor=""/>
    <protectedRange sqref="K57:K61" name="区域3" securityDescriptor=""/>
    <protectedRange sqref="K34:K5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66:F66"/>
    <mergeCell ref="D67:F67"/>
    <mergeCell ref="D68:F68"/>
    <mergeCell ref="D69:F69"/>
    <mergeCell ref="D70:F70"/>
    <mergeCell ref="D71:F71"/>
    <mergeCell ref="D81:F81"/>
    <mergeCell ref="D84:I84"/>
    <mergeCell ref="J84:K84"/>
    <mergeCell ref="L84:M84"/>
    <mergeCell ref="D85:I85"/>
    <mergeCell ref="J85:K85"/>
    <mergeCell ref="L85:M85"/>
    <mergeCell ref="D86:I86"/>
    <mergeCell ref="J86:K86"/>
    <mergeCell ref="L86:M86"/>
    <mergeCell ref="D87:I87"/>
    <mergeCell ref="J87:K87"/>
    <mergeCell ref="L87:M87"/>
    <mergeCell ref="D88:I88"/>
    <mergeCell ref="J88:K88"/>
    <mergeCell ref="L88:M88"/>
    <mergeCell ref="G72:G77"/>
    <mergeCell ref="H72:H77"/>
    <mergeCell ref="I72:I77"/>
    <mergeCell ref="J72:J77"/>
    <mergeCell ref="K72:K77"/>
    <mergeCell ref="B1:M2"/>
    <mergeCell ref="D72:F77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成绩单</vt:lpstr>
      <vt:lpstr>MOD1-评分表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2009-01-01T00:33:52Z</dcterms:created>
  <dcterms:modified xsi:type="dcterms:W3CDTF">2009-01-01T00:34:18Z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