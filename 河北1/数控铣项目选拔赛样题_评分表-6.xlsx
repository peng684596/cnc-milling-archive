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5" windowWidth="14895" windowHeight="7935" activeTab="1"/>
  </bookViews>
  <sheets>
    <sheet name="成绩单" sheetId="4" r:id="rId1"/>
    <sheet name="MOD1-评分表" sheetId="1" r:id="rId2"/>
    <sheet name="MOD2-评分表" sheetId="2" r:id="rId3"/>
  </sheets>
  <definedNames>
    <definedName name="_xlnm.Print_Area" localSheetId="1">'MOD1-评分表'!$B$1:$M$104</definedName>
    <definedName name="_xlnm.Print_Area" localSheetId="2">'MOD2-评分表'!$B$1:$M$101</definedName>
    <definedName name="_xlnm.Print_Area" localSheetId="0">成绩单!$A$1:$L$47</definedName>
  </definedNames>
  <calcPr calcId="114210"/>
</workbook>
</file>

<file path=xl/calcChain.xml><?xml version="1.0" encoding="utf-8"?>
<calcChain xmlns="http://schemas.openxmlformats.org/spreadsheetml/2006/main">
  <c r="C75" i="2"/>
  <c r="C39"/>
  <c r="I62" i="1"/>
  <c r="J62"/>
  <c r="L9" i="2"/>
  <c r="I63"/>
  <c r="J63"/>
  <c r="I33"/>
  <c r="J33"/>
  <c r="I40" i="4"/>
  <c r="J30" i="1"/>
  <c r="I30"/>
  <c r="L30"/>
  <c r="J29"/>
  <c r="I29"/>
  <c r="L29"/>
  <c r="J28"/>
  <c r="I28"/>
  <c r="L28"/>
  <c r="J27"/>
  <c r="I27"/>
  <c r="L27"/>
  <c r="J26"/>
  <c r="L26"/>
  <c r="J25"/>
  <c r="L25"/>
  <c r="J10"/>
  <c r="L10"/>
  <c r="J11"/>
  <c r="L11"/>
  <c r="J12"/>
  <c r="L12"/>
  <c r="J13"/>
  <c r="L13"/>
  <c r="J14"/>
  <c r="L14"/>
  <c r="J15"/>
  <c r="L15"/>
  <c r="J16"/>
  <c r="L16"/>
  <c r="J17"/>
  <c r="L17"/>
  <c r="J18"/>
  <c r="L18"/>
  <c r="J19"/>
  <c r="L19"/>
  <c r="J20"/>
  <c r="L20"/>
  <c r="J21"/>
  <c r="L21"/>
  <c r="J22"/>
  <c r="L22"/>
  <c r="J23"/>
  <c r="L23"/>
  <c r="J9"/>
  <c r="L9"/>
  <c r="J8"/>
  <c r="L8"/>
  <c r="E4"/>
  <c r="E4" i="2"/>
  <c r="I3"/>
  <c r="E3"/>
  <c r="I3" i="1"/>
  <c r="E3"/>
  <c r="H40" i="4"/>
  <c r="G40"/>
  <c r="L44" i="2"/>
  <c r="L43"/>
  <c r="J24"/>
  <c r="I24"/>
  <c r="J9"/>
  <c r="I9"/>
  <c r="K38" i="4"/>
  <c r="C95" i="2"/>
  <c r="L94"/>
  <c r="L95"/>
  <c r="H36" i="4"/>
  <c r="K36"/>
  <c r="C91" i="2"/>
  <c r="W84"/>
  <c r="V84"/>
  <c r="S84"/>
  <c r="R84"/>
  <c r="Q84"/>
  <c r="P84"/>
  <c r="O84"/>
  <c r="W83"/>
  <c r="V83"/>
  <c r="S83"/>
  <c r="R83"/>
  <c r="Q83"/>
  <c r="P83"/>
  <c r="O83"/>
  <c r="T83"/>
  <c r="U83"/>
  <c r="L83"/>
  <c r="W82"/>
  <c r="V82"/>
  <c r="S82"/>
  <c r="R82"/>
  <c r="Q82"/>
  <c r="P82"/>
  <c r="O82"/>
  <c r="W81"/>
  <c r="V81"/>
  <c r="S81"/>
  <c r="R81"/>
  <c r="Q81"/>
  <c r="P81"/>
  <c r="O81"/>
  <c r="W80"/>
  <c r="V80"/>
  <c r="S80"/>
  <c r="R80"/>
  <c r="Q80"/>
  <c r="P80"/>
  <c r="O80"/>
  <c r="W79"/>
  <c r="V79"/>
  <c r="S79"/>
  <c r="R79"/>
  <c r="Q79"/>
  <c r="P79"/>
  <c r="O79"/>
  <c r="T79"/>
  <c r="U79"/>
  <c r="L79"/>
  <c r="J72"/>
  <c r="L72"/>
  <c r="I72"/>
  <c r="J71"/>
  <c r="L71"/>
  <c r="I71"/>
  <c r="J70"/>
  <c r="L70"/>
  <c r="I70"/>
  <c r="J69"/>
  <c r="L69"/>
  <c r="I69"/>
  <c r="J68"/>
  <c r="L68"/>
  <c r="I68"/>
  <c r="J67"/>
  <c r="L67"/>
  <c r="I67"/>
  <c r="C64"/>
  <c r="J62"/>
  <c r="I62"/>
  <c r="J61"/>
  <c r="L61"/>
  <c r="I61"/>
  <c r="J60"/>
  <c r="I60"/>
  <c r="J59"/>
  <c r="L59"/>
  <c r="I59"/>
  <c r="J58"/>
  <c r="L58"/>
  <c r="I58"/>
  <c r="J57"/>
  <c r="L57"/>
  <c r="I57"/>
  <c r="J56"/>
  <c r="L56"/>
  <c r="I56"/>
  <c r="J55"/>
  <c r="L55"/>
  <c r="I55"/>
  <c r="J54"/>
  <c r="L54"/>
  <c r="I54"/>
  <c r="J53"/>
  <c r="L53"/>
  <c r="I53"/>
  <c r="J52"/>
  <c r="L52"/>
  <c r="I52"/>
  <c r="J51"/>
  <c r="L51"/>
  <c r="I51"/>
  <c r="J50"/>
  <c r="L50"/>
  <c r="I50"/>
  <c r="J49"/>
  <c r="L49"/>
  <c r="I49"/>
  <c r="J48"/>
  <c r="L48"/>
  <c r="I48"/>
  <c r="J47"/>
  <c r="L47"/>
  <c r="I47"/>
  <c r="J46"/>
  <c r="L46"/>
  <c r="I46"/>
  <c r="J45"/>
  <c r="L45"/>
  <c r="I45"/>
  <c r="L42"/>
  <c r="J38"/>
  <c r="I38"/>
  <c r="J37"/>
  <c r="I37"/>
  <c r="L37"/>
  <c r="J36"/>
  <c r="I36"/>
  <c r="J35"/>
  <c r="I35"/>
  <c r="L35"/>
  <c r="J34"/>
  <c r="I34"/>
  <c r="J32"/>
  <c r="I32"/>
  <c r="L32"/>
  <c r="J31"/>
  <c r="I31"/>
  <c r="J30"/>
  <c r="L30"/>
  <c r="I30"/>
  <c r="J29"/>
  <c r="L29"/>
  <c r="I29"/>
  <c r="J28"/>
  <c r="L28"/>
  <c r="I28"/>
  <c r="J27"/>
  <c r="L27"/>
  <c r="I27"/>
  <c r="J26"/>
  <c r="L26"/>
  <c r="I26"/>
  <c r="J25"/>
  <c r="L25"/>
  <c r="I25"/>
  <c r="L24"/>
  <c r="J23"/>
  <c r="L23"/>
  <c r="I23"/>
  <c r="J22"/>
  <c r="L22"/>
  <c r="I22"/>
  <c r="J21"/>
  <c r="L21"/>
  <c r="I21"/>
  <c r="J20"/>
  <c r="L20"/>
  <c r="I20"/>
  <c r="J19"/>
  <c r="L19"/>
  <c r="I19"/>
  <c r="J18"/>
  <c r="L18"/>
  <c r="I18"/>
  <c r="J17"/>
  <c r="L17"/>
  <c r="I17"/>
  <c r="J16"/>
  <c r="L16"/>
  <c r="I16"/>
  <c r="J15"/>
  <c r="L15"/>
  <c r="I15"/>
  <c r="J14"/>
  <c r="L14"/>
  <c r="I14"/>
  <c r="J13"/>
  <c r="L13"/>
  <c r="I13"/>
  <c r="J12"/>
  <c r="L12"/>
  <c r="I12"/>
  <c r="J11"/>
  <c r="L11"/>
  <c r="I11"/>
  <c r="J10"/>
  <c r="L10"/>
  <c r="I10"/>
  <c r="J8"/>
  <c r="L8"/>
  <c r="I8"/>
  <c r="C98" i="1"/>
  <c r="C94"/>
  <c r="L77"/>
  <c r="C67"/>
  <c r="C78"/>
  <c r="C41"/>
  <c r="L45"/>
  <c r="I64"/>
  <c r="J64"/>
  <c r="I65"/>
  <c r="J65"/>
  <c r="I66"/>
  <c r="J66"/>
  <c r="J40"/>
  <c r="L40"/>
  <c r="I40"/>
  <c r="J39"/>
  <c r="I39"/>
  <c r="J38"/>
  <c r="L38"/>
  <c r="I38"/>
  <c r="J37"/>
  <c r="L37"/>
  <c r="I37"/>
  <c r="J36"/>
  <c r="I36"/>
  <c r="J35"/>
  <c r="I35"/>
  <c r="J34"/>
  <c r="L34"/>
  <c r="I34"/>
  <c r="J33"/>
  <c r="L33"/>
  <c r="I33"/>
  <c r="J32"/>
  <c r="I32"/>
  <c r="J31"/>
  <c r="I31"/>
  <c r="L44"/>
  <c r="J24"/>
  <c r="W83"/>
  <c r="W84"/>
  <c r="W85"/>
  <c r="W86"/>
  <c r="W87"/>
  <c r="V83"/>
  <c r="V84"/>
  <c r="V85"/>
  <c r="V86"/>
  <c r="V87"/>
  <c r="W82"/>
  <c r="V82"/>
  <c r="O83"/>
  <c r="P83"/>
  <c r="Q83"/>
  <c r="R83"/>
  <c r="S83"/>
  <c r="O84"/>
  <c r="P84"/>
  <c r="Q84"/>
  <c r="R84"/>
  <c r="S84"/>
  <c r="O85"/>
  <c r="T85"/>
  <c r="U85"/>
  <c r="P85"/>
  <c r="Q85"/>
  <c r="R85"/>
  <c r="S85"/>
  <c r="O86"/>
  <c r="P86"/>
  <c r="Q86"/>
  <c r="R86"/>
  <c r="S86"/>
  <c r="O87"/>
  <c r="P87"/>
  <c r="Q87"/>
  <c r="R87"/>
  <c r="S87"/>
  <c r="Q82"/>
  <c r="R82"/>
  <c r="S82"/>
  <c r="P82"/>
  <c r="O82"/>
  <c r="L97"/>
  <c r="L98"/>
  <c r="G34" i="4"/>
  <c r="K34"/>
  <c r="L76" i="1"/>
  <c r="J75"/>
  <c r="L75"/>
  <c r="I75"/>
  <c r="J74"/>
  <c r="L74"/>
  <c r="I74"/>
  <c r="J73"/>
  <c r="L73"/>
  <c r="I73"/>
  <c r="L72"/>
  <c r="J72"/>
  <c r="I72"/>
  <c r="J71"/>
  <c r="L71"/>
  <c r="I71"/>
  <c r="J70"/>
  <c r="L70"/>
  <c r="I70"/>
  <c r="I24"/>
  <c r="L62"/>
  <c r="J61"/>
  <c r="L61"/>
  <c r="I61"/>
  <c r="J60"/>
  <c r="L60"/>
  <c r="I60"/>
  <c r="J59"/>
  <c r="L59"/>
  <c r="I59"/>
  <c r="J58"/>
  <c r="L58"/>
  <c r="I58"/>
  <c r="J57"/>
  <c r="L57"/>
  <c r="I57"/>
  <c r="J56"/>
  <c r="L56"/>
  <c r="I56"/>
  <c r="J55"/>
  <c r="L55"/>
  <c r="I55"/>
  <c r="J54"/>
  <c r="L54"/>
  <c r="I54"/>
  <c r="J53"/>
  <c r="L53"/>
  <c r="I53"/>
  <c r="J52"/>
  <c r="L52"/>
  <c r="I52"/>
  <c r="J51"/>
  <c r="L51"/>
  <c r="I51"/>
  <c r="J50"/>
  <c r="L50"/>
  <c r="I50"/>
  <c r="J49"/>
  <c r="L49"/>
  <c r="I49"/>
  <c r="J48"/>
  <c r="L48"/>
  <c r="I48"/>
  <c r="J47"/>
  <c r="L47"/>
  <c r="I47"/>
  <c r="J46"/>
  <c r="L46"/>
  <c r="I46"/>
  <c r="I9"/>
  <c r="I10"/>
  <c r="I11"/>
  <c r="I12"/>
  <c r="I13"/>
  <c r="I14"/>
  <c r="I15"/>
  <c r="I16"/>
  <c r="I17"/>
  <c r="I18"/>
  <c r="I19"/>
  <c r="I20"/>
  <c r="I21"/>
  <c r="I22"/>
  <c r="I23"/>
  <c r="L24"/>
  <c r="I25"/>
  <c r="I26"/>
  <c r="I8"/>
  <c r="L78"/>
  <c r="G22" i="4"/>
  <c r="K22"/>
  <c r="T81" i="2"/>
  <c r="U81"/>
  <c r="L81"/>
  <c r="K32" i="4"/>
  <c r="L32" i="1"/>
  <c r="L36"/>
  <c r="L65"/>
  <c r="L34" i="2"/>
  <c r="L36"/>
  <c r="L38"/>
  <c r="T80"/>
  <c r="U80"/>
  <c r="L80"/>
  <c r="T82"/>
  <c r="U82"/>
  <c r="L82"/>
  <c r="T84"/>
  <c r="U84"/>
  <c r="L84"/>
  <c r="L91"/>
  <c r="H30" i="4"/>
  <c r="K30"/>
  <c r="K40"/>
  <c r="L39" i="1"/>
  <c r="L66"/>
  <c r="L64"/>
  <c r="L41"/>
  <c r="G10" i="4"/>
  <c r="K10"/>
  <c r="L60" i="2"/>
  <c r="L62"/>
  <c r="L31"/>
  <c r="L33"/>
  <c r="K26" i="4"/>
  <c r="L75" i="2"/>
  <c r="H24" i="4"/>
  <c r="K24"/>
  <c r="L39" i="2"/>
  <c r="H12" i="4"/>
  <c r="K12"/>
  <c r="L63" i="1"/>
  <c r="L67"/>
  <c r="G16" i="4"/>
  <c r="L31" i="1"/>
  <c r="L35"/>
  <c r="L85"/>
  <c r="T87"/>
  <c r="U87"/>
  <c r="L87"/>
  <c r="T86"/>
  <c r="U86"/>
  <c r="L86"/>
  <c r="T82"/>
  <c r="U82"/>
  <c r="L82"/>
  <c r="T84"/>
  <c r="U84"/>
  <c r="L84"/>
  <c r="T83"/>
  <c r="U83"/>
  <c r="L83"/>
  <c r="K14" i="4"/>
  <c r="L94" i="1"/>
  <c r="G28" i="4"/>
  <c r="K28"/>
  <c r="L64" i="2"/>
  <c r="H18" i="4"/>
  <c r="K18"/>
  <c r="L4" i="2"/>
  <c r="K16" i="4"/>
  <c r="K20"/>
  <c r="H41"/>
  <c r="L4" i="1"/>
  <c r="G41" i="4"/>
  <c r="K41"/>
</calcChain>
</file>

<file path=xl/sharedStrings.xml><?xml version="1.0" encoding="utf-8"?>
<sst xmlns="http://schemas.openxmlformats.org/spreadsheetml/2006/main" count="401" uniqueCount="170">
  <si>
    <t>配分</t>
    <phoneticPr fontId="2" type="noConversion"/>
  </si>
  <si>
    <t>方位</t>
    <phoneticPr fontId="2" type="noConversion"/>
  </si>
  <si>
    <t>公称尺寸</t>
    <phoneticPr fontId="2" type="noConversion"/>
  </si>
  <si>
    <t>上偏差</t>
    <phoneticPr fontId="2" type="noConversion"/>
  </si>
  <si>
    <t>下偏差</t>
    <phoneticPr fontId="2" type="noConversion"/>
  </si>
  <si>
    <t>上极限尺寸</t>
    <phoneticPr fontId="2" type="noConversion"/>
  </si>
  <si>
    <t>下极限尺寸</t>
    <phoneticPr fontId="2" type="noConversion"/>
  </si>
  <si>
    <t>实际尺寸</t>
    <phoneticPr fontId="2" type="noConversion"/>
  </si>
  <si>
    <t>得分</t>
    <phoneticPr fontId="2" type="noConversion"/>
  </si>
  <si>
    <t>尺寸类型</t>
    <phoneticPr fontId="2" type="noConversion"/>
  </si>
  <si>
    <t>直径</t>
    <phoneticPr fontId="2" type="noConversion"/>
  </si>
  <si>
    <t>螺纹</t>
    <phoneticPr fontId="2" type="noConversion"/>
  </si>
  <si>
    <t>表面质量</t>
    <phoneticPr fontId="2" type="noConversion"/>
  </si>
  <si>
    <t>修正值</t>
    <phoneticPr fontId="2" type="noConversion"/>
  </si>
  <si>
    <t>序号</t>
    <phoneticPr fontId="2" type="noConversion"/>
  </si>
  <si>
    <t>B2</t>
    <phoneticPr fontId="2" type="noConversion"/>
  </si>
  <si>
    <t>D3</t>
    <phoneticPr fontId="2" type="noConversion"/>
  </si>
  <si>
    <t>C8</t>
    <phoneticPr fontId="2" type="noConversion"/>
  </si>
  <si>
    <t>D9</t>
    <phoneticPr fontId="2" type="noConversion"/>
  </si>
  <si>
    <t>C10</t>
    <phoneticPr fontId="2" type="noConversion"/>
  </si>
  <si>
    <t>B3</t>
    <phoneticPr fontId="2" type="noConversion"/>
  </si>
  <si>
    <t>C5</t>
    <phoneticPr fontId="2" type="noConversion"/>
  </si>
  <si>
    <t>Ra 0.8</t>
    <phoneticPr fontId="2" type="noConversion"/>
  </si>
  <si>
    <t>长度</t>
    <phoneticPr fontId="2" type="noConversion"/>
  </si>
  <si>
    <t>机床（加工）倒角</t>
    <phoneticPr fontId="2" type="noConversion"/>
  </si>
  <si>
    <t>手工倒角</t>
    <phoneticPr fontId="2" type="noConversion"/>
  </si>
  <si>
    <t>轮廓损伤</t>
    <phoneticPr fontId="2" type="noConversion"/>
  </si>
  <si>
    <t>第一面与图纸相符程度</t>
    <phoneticPr fontId="2" type="noConversion"/>
  </si>
  <si>
    <t>第二面与图纸相符程度</t>
    <phoneticPr fontId="2" type="noConversion"/>
  </si>
  <si>
    <r>
      <t>A-</t>
    </r>
    <r>
      <rPr>
        <sz val="8"/>
        <rFont val="宋体"/>
        <charset val="134"/>
      </rPr>
      <t>主要尺寸</t>
    </r>
    <phoneticPr fontId="2" type="noConversion"/>
  </si>
  <si>
    <r>
      <t>B-</t>
    </r>
    <r>
      <rPr>
        <sz val="8"/>
        <rFont val="宋体"/>
        <charset val="134"/>
      </rPr>
      <t>次要尺寸</t>
    </r>
    <phoneticPr fontId="2" type="noConversion"/>
  </si>
  <si>
    <r>
      <t>C-</t>
    </r>
    <r>
      <rPr>
        <sz val="8"/>
        <rFont val="宋体"/>
        <charset val="134"/>
      </rPr>
      <t>表面质量</t>
    </r>
    <phoneticPr fontId="2" type="noConversion"/>
  </si>
  <si>
    <r>
      <t>D-</t>
    </r>
    <r>
      <rPr>
        <sz val="8"/>
        <rFont val="宋体"/>
        <charset val="134"/>
      </rPr>
      <t>主观评判</t>
    </r>
    <phoneticPr fontId="2" type="noConversion"/>
  </si>
  <si>
    <r>
      <t>E-</t>
    </r>
    <r>
      <rPr>
        <sz val="8"/>
        <rFont val="宋体"/>
        <charset val="134"/>
      </rPr>
      <t>增加毛坯</t>
    </r>
    <phoneticPr fontId="2" type="noConversion"/>
  </si>
  <si>
    <t>是否更换增加毛坯</t>
    <phoneticPr fontId="2" type="noConversion"/>
  </si>
  <si>
    <t>签名</t>
    <phoneticPr fontId="2" type="noConversion"/>
  </si>
  <si>
    <t>日期</t>
    <phoneticPr fontId="2" type="noConversion"/>
  </si>
  <si>
    <t>裁判员1</t>
    <phoneticPr fontId="2" type="noConversion"/>
  </si>
  <si>
    <t>裁判员2</t>
    <phoneticPr fontId="2" type="noConversion"/>
  </si>
  <si>
    <t>裁判员3</t>
    <phoneticPr fontId="2" type="noConversion"/>
  </si>
  <si>
    <t>裁判长</t>
    <phoneticPr fontId="2" type="noConversion"/>
  </si>
  <si>
    <t>单位（学校）</t>
    <phoneticPr fontId="2" type="noConversion"/>
  </si>
  <si>
    <t>选手姓名</t>
    <phoneticPr fontId="2" type="noConversion"/>
  </si>
  <si>
    <t>成绩小计</t>
    <phoneticPr fontId="2" type="noConversion"/>
  </si>
  <si>
    <t>OK</t>
    <phoneticPr fontId="2" type="noConversion"/>
  </si>
  <si>
    <t>NO</t>
    <phoneticPr fontId="2" type="noConversion"/>
  </si>
  <si>
    <t>MOD1</t>
    <phoneticPr fontId="2" type="noConversion"/>
  </si>
  <si>
    <t>选手编号</t>
    <phoneticPr fontId="2" type="noConversion"/>
  </si>
  <si>
    <t>试题图号</t>
    <phoneticPr fontId="2" type="noConversion"/>
  </si>
  <si>
    <t>小计</t>
    <phoneticPr fontId="2" type="noConversion"/>
  </si>
  <si>
    <t>小计</t>
    <phoneticPr fontId="2" type="noConversion"/>
  </si>
  <si>
    <t>裁判签字</t>
    <phoneticPr fontId="2" type="noConversion"/>
  </si>
  <si>
    <t>裁判签字</t>
    <phoneticPr fontId="2" type="noConversion"/>
  </si>
  <si>
    <t>MOD2</t>
    <phoneticPr fontId="2" type="noConversion"/>
  </si>
  <si>
    <t>D3</t>
    <phoneticPr fontId="4" type="noConversion"/>
  </si>
  <si>
    <t>B9</t>
    <phoneticPr fontId="4" type="noConversion"/>
  </si>
  <si>
    <t>D9</t>
    <phoneticPr fontId="4" type="noConversion"/>
  </si>
  <si>
    <t>D10</t>
    <phoneticPr fontId="4" type="noConversion"/>
  </si>
  <si>
    <t>D2</t>
    <phoneticPr fontId="4" type="noConversion"/>
  </si>
  <si>
    <t>A</t>
    <phoneticPr fontId="4" type="noConversion"/>
  </si>
  <si>
    <t>B</t>
    <phoneticPr fontId="4" type="noConversion"/>
  </si>
  <si>
    <t>C</t>
    <phoneticPr fontId="4" type="noConversion"/>
  </si>
  <si>
    <t>D</t>
    <phoneticPr fontId="4" type="noConversion"/>
  </si>
  <si>
    <t>E</t>
    <phoneticPr fontId="4" type="noConversion"/>
  </si>
  <si>
    <t>评判项目编码</t>
    <phoneticPr fontId="4" type="noConversion"/>
  </si>
  <si>
    <t>评判项目</t>
    <phoneticPr fontId="4" type="noConversion"/>
  </si>
  <si>
    <t>分模块成绩</t>
    <phoneticPr fontId="4" type="noConversion"/>
  </si>
  <si>
    <t>成绩统计</t>
    <phoneticPr fontId="4" type="noConversion"/>
  </si>
  <si>
    <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</rPr>
      <t>1-</t>
    </r>
    <r>
      <rPr>
        <sz val="8"/>
        <rFont val="宋体"/>
        <charset val="134"/>
      </rPr>
      <t>主要尺寸</t>
    </r>
    <phoneticPr fontId="4" type="noConversion"/>
  </si>
  <si>
    <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</rPr>
      <t>2-主要尺寸</t>
    </r>
    <r>
      <rPr>
        <sz val="6"/>
        <rFont val="宋体"/>
        <charset val="134"/>
      </rPr>
      <t/>
    </r>
  </si>
  <si>
    <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</rPr>
      <t>3-主要尺寸</t>
    </r>
    <r>
      <rPr>
        <sz val="6"/>
        <rFont val="宋体"/>
        <charset val="134"/>
      </rPr>
      <t/>
    </r>
  </si>
  <si>
    <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</rPr>
      <t>1-</t>
    </r>
    <r>
      <rPr>
        <sz val="8"/>
        <rFont val="宋体"/>
        <charset val="134"/>
      </rPr>
      <t>次要尺寸</t>
    </r>
    <phoneticPr fontId="2" type="noConversion"/>
  </si>
  <si>
    <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</rPr>
      <t>2-次要尺寸</t>
    </r>
    <r>
      <rPr>
        <sz val="6"/>
        <rFont val="宋体"/>
        <charset val="134"/>
      </rPr>
      <t/>
    </r>
  </si>
  <si>
    <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</rPr>
      <t>3-次要尺寸</t>
    </r>
    <r>
      <rPr>
        <sz val="6"/>
        <rFont val="宋体"/>
        <charset val="134"/>
      </rPr>
      <t/>
    </r>
  </si>
  <si>
    <r>
      <rPr>
        <sz val="8"/>
        <rFont val="宋体"/>
        <charset val="134"/>
      </rPr>
      <t>模块</t>
    </r>
    <r>
      <rPr>
        <sz val="8"/>
        <rFont val="Arial"/>
        <family val="2"/>
      </rPr>
      <t>1-</t>
    </r>
    <r>
      <rPr>
        <sz val="8"/>
        <rFont val="宋体"/>
        <charset val="134"/>
      </rPr>
      <t>表面质量</t>
    </r>
    <phoneticPr fontId="4" type="noConversion"/>
  </si>
  <si>
    <r>
      <rPr>
        <sz val="8"/>
        <rFont val="宋体"/>
        <charset val="134"/>
      </rPr>
      <t>模块</t>
    </r>
    <r>
      <rPr>
        <sz val="8"/>
        <rFont val="Arial"/>
        <family val="2"/>
      </rPr>
      <t>2-表面质量</t>
    </r>
    <r>
      <rPr>
        <sz val="6"/>
        <rFont val="宋体"/>
        <charset val="134"/>
      </rPr>
      <t/>
    </r>
  </si>
  <si>
    <r>
      <rPr>
        <sz val="8"/>
        <rFont val="宋体"/>
        <charset val="134"/>
      </rPr>
      <t>模块</t>
    </r>
    <r>
      <rPr>
        <sz val="8"/>
        <rFont val="Arial"/>
        <family val="2"/>
      </rPr>
      <t>3-表面质量</t>
    </r>
    <r>
      <rPr>
        <sz val="6"/>
        <rFont val="宋体"/>
        <charset val="134"/>
      </rPr>
      <t/>
    </r>
  </si>
  <si>
    <r>
      <t xml:space="preserve">  </t>
    </r>
    <r>
      <rPr>
        <sz val="8"/>
        <rFont val="宋体"/>
        <charset val="134"/>
      </rPr>
      <t>模块</t>
    </r>
    <r>
      <rPr>
        <sz val="8"/>
        <rFont val="Arial"/>
        <family val="2"/>
      </rPr>
      <t>1-</t>
    </r>
    <r>
      <rPr>
        <sz val="8"/>
        <rFont val="宋体"/>
        <charset val="134"/>
      </rPr>
      <t>主观评判</t>
    </r>
    <phoneticPr fontId="4" type="noConversion"/>
  </si>
  <si>
    <r>
      <t xml:space="preserve">  </t>
    </r>
    <r>
      <rPr>
        <sz val="8"/>
        <rFont val="宋体"/>
        <charset val="134"/>
      </rPr>
      <t>模块</t>
    </r>
    <r>
      <rPr>
        <sz val="8"/>
        <rFont val="Arial"/>
        <family val="2"/>
      </rPr>
      <t>2-主观评判</t>
    </r>
    <r>
      <rPr>
        <sz val="6"/>
        <rFont val="宋体"/>
        <charset val="134"/>
      </rPr>
      <t/>
    </r>
  </si>
  <si>
    <r>
      <t xml:space="preserve">  </t>
    </r>
    <r>
      <rPr>
        <sz val="8"/>
        <rFont val="宋体"/>
        <charset val="134"/>
      </rPr>
      <t>模块</t>
    </r>
    <r>
      <rPr>
        <sz val="8"/>
        <rFont val="Arial"/>
        <family val="2"/>
      </rPr>
      <t>3-主观评判</t>
    </r>
    <r>
      <rPr>
        <sz val="6"/>
        <rFont val="宋体"/>
        <charset val="134"/>
      </rPr>
      <t/>
    </r>
  </si>
  <si>
    <r>
      <rPr>
        <sz val="8"/>
        <rFont val="宋体"/>
        <charset val="134"/>
      </rPr>
      <t>模块</t>
    </r>
    <r>
      <rPr>
        <sz val="8"/>
        <rFont val="Arial"/>
        <family val="2"/>
      </rPr>
      <t>1-</t>
    </r>
    <r>
      <rPr>
        <sz val="8"/>
        <rFont val="宋体"/>
        <charset val="134"/>
      </rPr>
      <t>是否增加毛坯</t>
    </r>
    <phoneticPr fontId="4" type="noConversion"/>
  </si>
  <si>
    <r>
      <rPr>
        <sz val="8"/>
        <rFont val="宋体"/>
        <charset val="134"/>
      </rPr>
      <t>模块</t>
    </r>
    <r>
      <rPr>
        <sz val="8"/>
        <rFont val="Arial"/>
        <family val="2"/>
      </rPr>
      <t>2-是否增加毛坯</t>
    </r>
    <r>
      <rPr>
        <sz val="6"/>
        <rFont val="宋体"/>
        <charset val="134"/>
      </rPr>
      <t/>
    </r>
  </si>
  <si>
    <r>
      <rPr>
        <sz val="8"/>
        <rFont val="宋体"/>
        <charset val="134"/>
      </rPr>
      <t>模块</t>
    </r>
    <r>
      <rPr>
        <sz val="8"/>
        <rFont val="Arial"/>
        <family val="2"/>
      </rPr>
      <t>3-是否增加毛坯</t>
    </r>
    <r>
      <rPr>
        <sz val="6"/>
        <rFont val="宋体"/>
        <charset val="134"/>
      </rPr>
      <t/>
    </r>
  </si>
  <si>
    <t>配分</t>
    <phoneticPr fontId="2" type="noConversion"/>
  </si>
  <si>
    <t>实际得分</t>
    <phoneticPr fontId="2" type="noConversion"/>
  </si>
  <si>
    <r>
      <rPr>
        <sz val="10"/>
        <rFont val="宋体"/>
        <charset val="134"/>
      </rPr>
      <t>模块</t>
    </r>
    <r>
      <rPr>
        <sz val="10"/>
        <rFont val="Arial"/>
        <family val="2"/>
      </rPr>
      <t>1</t>
    </r>
    <phoneticPr fontId="4" type="noConversion"/>
  </si>
  <si>
    <r>
      <rPr>
        <sz val="10"/>
        <rFont val="宋体"/>
        <charset val="134"/>
      </rPr>
      <t>模块</t>
    </r>
    <r>
      <rPr>
        <sz val="10"/>
        <rFont val="Arial"/>
        <family val="2"/>
      </rPr>
      <t>2</t>
    </r>
    <phoneticPr fontId="4" type="noConversion"/>
  </si>
  <si>
    <r>
      <rPr>
        <sz val="10"/>
        <rFont val="宋体"/>
        <charset val="134"/>
      </rPr>
      <t>模块</t>
    </r>
    <r>
      <rPr>
        <sz val="10"/>
        <rFont val="Arial"/>
        <family val="2"/>
      </rPr>
      <t>3</t>
    </r>
    <phoneticPr fontId="4" type="noConversion"/>
  </si>
  <si>
    <t>总成绩</t>
    <phoneticPr fontId="2" type="noConversion"/>
  </si>
  <si>
    <t>裁判长签名</t>
    <phoneticPr fontId="2" type="noConversion"/>
  </si>
  <si>
    <t>选手指导签名</t>
    <phoneticPr fontId="2" type="noConversion"/>
  </si>
  <si>
    <t>偏差</t>
    <phoneticPr fontId="2" type="noConversion"/>
  </si>
  <si>
    <t>允差</t>
    <phoneticPr fontId="2" type="noConversion"/>
  </si>
  <si>
    <t>2014年中国技能大赛—第43届世界技能大赛数控铣项目全国选拔赛样题评分汇总表</t>
    <phoneticPr fontId="2" type="noConversion"/>
  </si>
  <si>
    <t>2014年中国技能大赛—第43届世界技能大赛数控铣项目全国选拔赛MOD1样题评分表</t>
    <phoneticPr fontId="2" type="noConversion"/>
  </si>
  <si>
    <t>2014年中国技能大赛—第43届世界技能大赛数控铣项目全国选拔赛MOD2样题评分表</t>
    <phoneticPr fontId="4" type="noConversion"/>
  </si>
  <si>
    <t>B2</t>
    <phoneticPr fontId="4" type="noConversion"/>
  </si>
  <si>
    <t>B1</t>
    <phoneticPr fontId="4" type="noConversion"/>
  </si>
  <si>
    <t>B3</t>
    <phoneticPr fontId="4" type="noConversion"/>
  </si>
  <si>
    <t>D1</t>
    <phoneticPr fontId="4" type="noConversion"/>
  </si>
  <si>
    <t>B4</t>
    <phoneticPr fontId="4" type="noConversion"/>
  </si>
  <si>
    <t>C4</t>
    <phoneticPr fontId="4" type="noConversion"/>
  </si>
  <si>
    <t>D4</t>
    <phoneticPr fontId="4" type="noConversion"/>
  </si>
  <si>
    <t>B6</t>
    <phoneticPr fontId="4" type="noConversion"/>
  </si>
  <si>
    <t>B9</t>
    <phoneticPr fontId="4" type="noConversion"/>
  </si>
  <si>
    <t>C7</t>
    <phoneticPr fontId="4" type="noConversion"/>
  </si>
  <si>
    <t>D7</t>
    <phoneticPr fontId="4" type="noConversion"/>
  </si>
  <si>
    <t>B8</t>
    <phoneticPr fontId="4" type="noConversion"/>
  </si>
  <si>
    <t>C8</t>
    <phoneticPr fontId="4" type="noConversion"/>
  </si>
  <si>
    <t>C9</t>
    <phoneticPr fontId="4" type="noConversion"/>
  </si>
  <si>
    <t>D8</t>
    <phoneticPr fontId="4" type="noConversion"/>
  </si>
  <si>
    <t>D10</t>
    <phoneticPr fontId="4" type="noConversion"/>
  </si>
  <si>
    <t>D9</t>
    <phoneticPr fontId="4" type="noConversion"/>
  </si>
  <si>
    <t>B7</t>
    <phoneticPr fontId="4" type="noConversion"/>
  </si>
  <si>
    <t>M30X1.5/12+2</t>
    <phoneticPr fontId="4" type="noConversion"/>
  </si>
  <si>
    <t>M10/10+2</t>
    <phoneticPr fontId="4" type="noConversion"/>
  </si>
  <si>
    <t>长度</t>
    <phoneticPr fontId="2" type="noConversion"/>
  </si>
  <si>
    <t>直径</t>
    <phoneticPr fontId="2" type="noConversion"/>
  </si>
  <si>
    <t>D9</t>
    <phoneticPr fontId="4" type="noConversion"/>
  </si>
  <si>
    <t>D6</t>
    <phoneticPr fontId="4" type="noConversion"/>
  </si>
  <si>
    <t>C5</t>
    <phoneticPr fontId="4" type="noConversion"/>
  </si>
  <si>
    <t>D2</t>
    <phoneticPr fontId="4" type="noConversion"/>
  </si>
  <si>
    <t>C3</t>
    <phoneticPr fontId="4" type="noConversion"/>
  </si>
  <si>
    <t>D4</t>
    <phoneticPr fontId="4" type="noConversion"/>
  </si>
  <si>
    <t>C4</t>
    <phoneticPr fontId="4" type="noConversion"/>
  </si>
  <si>
    <t>A5</t>
    <phoneticPr fontId="4" type="noConversion"/>
  </si>
  <si>
    <t>B5</t>
    <phoneticPr fontId="4" type="noConversion"/>
  </si>
  <si>
    <t>D7</t>
    <phoneticPr fontId="4" type="noConversion"/>
  </si>
  <si>
    <t>C9</t>
    <phoneticPr fontId="4" type="noConversion"/>
  </si>
  <si>
    <t>D9</t>
    <phoneticPr fontId="4" type="noConversion"/>
  </si>
  <si>
    <t>C10</t>
    <phoneticPr fontId="4" type="noConversion"/>
  </si>
  <si>
    <t>C5</t>
    <phoneticPr fontId="4" type="noConversion"/>
  </si>
  <si>
    <t>B10</t>
    <phoneticPr fontId="4" type="noConversion"/>
  </si>
  <si>
    <t>C9</t>
    <phoneticPr fontId="4" type="noConversion"/>
  </si>
  <si>
    <t>直径</t>
    <phoneticPr fontId="4" type="noConversion"/>
  </si>
  <si>
    <t>A2</t>
    <phoneticPr fontId="4" type="noConversion"/>
  </si>
  <si>
    <t>A6</t>
    <phoneticPr fontId="4" type="noConversion"/>
  </si>
  <si>
    <t>C7</t>
    <phoneticPr fontId="4" type="noConversion"/>
  </si>
  <si>
    <t>C8</t>
    <phoneticPr fontId="4" type="noConversion"/>
  </si>
  <si>
    <t>A5</t>
    <phoneticPr fontId="2" type="noConversion"/>
  </si>
  <si>
    <t>B5</t>
    <phoneticPr fontId="2" type="noConversion"/>
  </si>
  <si>
    <t>C1</t>
    <phoneticPr fontId="2" type="noConversion"/>
  </si>
  <si>
    <t>D4</t>
    <phoneticPr fontId="2" type="noConversion"/>
  </si>
  <si>
    <t>C5</t>
    <phoneticPr fontId="2" type="noConversion"/>
  </si>
  <si>
    <t>C6</t>
    <phoneticPr fontId="2" type="noConversion"/>
  </si>
  <si>
    <t>D6</t>
    <phoneticPr fontId="2" type="noConversion"/>
  </si>
  <si>
    <t>D9</t>
    <phoneticPr fontId="2" type="noConversion"/>
  </si>
  <si>
    <t>C10</t>
    <phoneticPr fontId="2" type="noConversion"/>
  </si>
  <si>
    <t>C9</t>
    <phoneticPr fontId="2" type="noConversion"/>
  </si>
  <si>
    <t>C7</t>
    <phoneticPr fontId="2" type="noConversion"/>
  </si>
  <si>
    <t>B9</t>
    <phoneticPr fontId="2" type="noConversion"/>
  </si>
  <si>
    <t>M30X1.5/12+2</t>
    <phoneticPr fontId="2" type="noConversion"/>
  </si>
  <si>
    <t>M10/10+2</t>
    <phoneticPr fontId="2" type="noConversion"/>
  </si>
  <si>
    <t>D5</t>
    <phoneticPr fontId="2" type="noConversion"/>
  </si>
  <si>
    <t>B3</t>
    <phoneticPr fontId="2" type="noConversion"/>
  </si>
  <si>
    <t>D2</t>
    <phoneticPr fontId="2" type="noConversion"/>
  </si>
  <si>
    <t>A3</t>
    <phoneticPr fontId="2" type="noConversion"/>
  </si>
  <si>
    <t>C3</t>
    <phoneticPr fontId="2" type="noConversion"/>
  </si>
  <si>
    <t>C8</t>
    <phoneticPr fontId="2" type="noConversion"/>
  </si>
  <si>
    <t>D8</t>
    <phoneticPr fontId="2" type="noConversion"/>
  </si>
  <si>
    <t>D3</t>
    <phoneticPr fontId="2" type="noConversion"/>
  </si>
  <si>
    <t>C7</t>
    <phoneticPr fontId="2" type="noConversion"/>
  </si>
  <si>
    <t>C6</t>
    <phoneticPr fontId="2" type="noConversion"/>
  </si>
  <si>
    <t>B8</t>
    <phoneticPr fontId="2" type="noConversion"/>
  </si>
  <si>
    <t>C8</t>
    <phoneticPr fontId="2" type="noConversion"/>
  </si>
  <si>
    <t>B7</t>
    <phoneticPr fontId="4" type="noConversion"/>
  </si>
  <si>
    <t>C6</t>
    <phoneticPr fontId="2" type="noConversion"/>
  </si>
  <si>
    <t>B6</t>
    <phoneticPr fontId="2" type="noConversion"/>
  </si>
  <si>
    <t>长度</t>
    <phoneticPr fontId="2" type="noConversion"/>
  </si>
  <si>
    <t>直径</t>
    <phoneticPr fontId="2" type="noConversion"/>
  </si>
</sst>
</file>

<file path=xl/styles.xml><?xml version="1.0" encoding="utf-8"?>
<styleSheet xmlns="http://schemas.openxmlformats.org/spreadsheetml/2006/main">
  <numFmts count="1">
    <numFmt numFmtId="176" formatCode="0.00_ "/>
  </numFmts>
  <fonts count="14">
    <font>
      <sz val="11"/>
      <color theme="1"/>
      <name val="宋体"/>
      <charset val="134"/>
      <scheme val="minor"/>
    </font>
    <font>
      <sz val="8"/>
      <name val="Arial"/>
      <family val="2"/>
    </font>
    <font>
      <sz val="9"/>
      <name val="宋体"/>
      <charset val="134"/>
    </font>
    <font>
      <sz val="8"/>
      <name val="宋体"/>
      <charset val="134"/>
    </font>
    <font>
      <sz val="9"/>
      <name val="宋体"/>
      <charset val="134"/>
    </font>
    <font>
      <sz val="6"/>
      <name val="Arial"/>
      <family val="2"/>
    </font>
    <font>
      <sz val="9"/>
      <name val="Arial"/>
      <family val="2"/>
    </font>
    <font>
      <sz val="6"/>
      <name val="宋体"/>
      <charset val="134"/>
    </font>
    <font>
      <sz val="10"/>
      <name val="Arial"/>
      <family val="2"/>
    </font>
    <font>
      <sz val="10"/>
      <name val="宋体"/>
      <charset val="134"/>
    </font>
    <font>
      <b/>
      <sz val="12"/>
      <color indexed="8"/>
      <name val="宋体-18030"/>
      <family val="3"/>
      <charset val="134"/>
    </font>
    <font>
      <sz val="8"/>
      <name val="宋体"/>
      <charset val="134"/>
    </font>
    <font>
      <sz val="6"/>
      <name val="宋体"/>
      <charset val="134"/>
    </font>
    <font>
      <sz val="10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7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4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3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0" fillId="0" borderId="18" xfId="0" applyBorder="1">
      <alignment vertical="center"/>
    </xf>
    <xf numFmtId="0" fontId="1" fillId="0" borderId="22" xfId="0" applyFont="1" applyBorder="1" applyAlignment="1">
      <alignment horizontal="center" vertical="center"/>
    </xf>
    <xf numFmtId="0" fontId="0" fillId="0" borderId="24" xfId="0" applyBorder="1">
      <alignment vertical="center"/>
    </xf>
    <xf numFmtId="0" fontId="1" fillId="0" borderId="26" xfId="0" applyFont="1" applyBorder="1" applyAlignment="1">
      <alignment horizontal="center" vertical="center"/>
    </xf>
    <xf numFmtId="0" fontId="0" fillId="0" borderId="23" xfId="0" applyBorder="1">
      <alignment vertical="center"/>
    </xf>
    <xf numFmtId="0" fontId="0" fillId="0" borderId="23" xfId="0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7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vertical="center"/>
    </xf>
    <xf numFmtId="0" fontId="1" fillId="3" borderId="32" xfId="0" applyFont="1" applyFill="1" applyBorder="1" applyAlignment="1">
      <alignment vertical="center"/>
    </xf>
    <xf numFmtId="0" fontId="1" fillId="3" borderId="33" xfId="0" applyFont="1" applyFill="1" applyBorder="1" applyAlignment="1">
      <alignment vertical="center"/>
    </xf>
    <xf numFmtId="0" fontId="3" fillId="3" borderId="32" xfId="0" applyFont="1" applyFill="1" applyBorder="1" applyAlignment="1">
      <alignment horizontal="center" vertical="center"/>
    </xf>
    <xf numFmtId="0" fontId="1" fillId="3" borderId="3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0" fontId="0" fillId="3" borderId="41" xfId="0" applyFill="1" applyBorder="1" applyAlignment="1">
      <alignment horizontal="center" vertical="center"/>
    </xf>
    <xf numFmtId="0" fontId="0" fillId="3" borderId="35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8" xfId="0" applyFill="1" applyBorder="1" applyAlignment="1">
      <alignment horizontal="left" vertical="center"/>
    </xf>
    <xf numFmtId="0" fontId="0" fillId="2" borderId="39" xfId="0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3" borderId="34" xfId="0" applyFont="1" applyFill="1" applyBorder="1" applyAlignment="1">
      <alignment horizontal="center" vertical="center"/>
    </xf>
    <xf numFmtId="0" fontId="1" fillId="3" borderId="48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4" xfId="0" applyFont="1" applyBorder="1" applyAlignment="1">
      <alignment horizontal="right" vertical="center"/>
    </xf>
    <xf numFmtId="0" fontId="1" fillId="0" borderId="41" xfId="0" applyFont="1" applyBorder="1" applyAlignment="1">
      <alignment horizontal="right" vertical="center"/>
    </xf>
    <xf numFmtId="0" fontId="1" fillId="0" borderId="35" xfId="0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0" fontId="1" fillId="0" borderId="38" xfId="0" applyFont="1" applyBorder="1" applyAlignment="1">
      <alignment horizontal="right" vertical="center"/>
    </xf>
    <xf numFmtId="0" fontId="1" fillId="0" borderId="39" xfId="0" applyFont="1" applyBorder="1" applyAlignment="1">
      <alignment horizontal="right" vertical="center"/>
    </xf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3" borderId="4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0" borderId="42" xfId="0" applyFont="1" applyBorder="1" applyAlignment="1">
      <alignment horizontal="right" vertical="center"/>
    </xf>
    <xf numFmtId="0" fontId="1" fillId="0" borderId="47" xfId="0" applyFont="1" applyBorder="1" applyAlignment="1">
      <alignment horizontal="right" vertical="center"/>
    </xf>
    <xf numFmtId="0" fontId="1" fillId="0" borderId="5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3" fillId="0" borderId="36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9" xfId="0" applyFont="1" applyFill="1" applyBorder="1" applyAlignment="1">
      <alignment horizontal="center" vertical="center"/>
    </xf>
    <xf numFmtId="0" fontId="1" fillId="3" borderId="43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3" borderId="46" xfId="0" applyFont="1" applyFill="1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workbookViewId="0">
      <selection activeCell="G19" sqref="G19"/>
    </sheetView>
  </sheetViews>
  <sheetFormatPr defaultRowHeight="13.5"/>
  <cols>
    <col min="1" max="1" width="2.625" customWidth="1"/>
    <col min="2" max="2" width="5.875" customWidth="1"/>
    <col min="3" max="3" width="5" customWidth="1"/>
    <col min="4" max="4" width="1.125" customWidth="1"/>
    <col min="5" max="5" width="13" customWidth="1"/>
    <col min="6" max="6" width="10.625" customWidth="1"/>
    <col min="12" max="12" width="2.625" customWidth="1"/>
  </cols>
  <sheetData>
    <row r="1" spans="1:12">
      <c r="A1" s="54"/>
      <c r="B1" s="55"/>
      <c r="C1" s="55"/>
      <c r="D1" s="55"/>
      <c r="E1" s="55"/>
      <c r="F1" s="55"/>
      <c r="G1" s="55"/>
      <c r="H1" s="55"/>
      <c r="I1" s="55"/>
      <c r="J1" s="55"/>
      <c r="K1" s="55"/>
      <c r="L1" s="56"/>
    </row>
    <row r="2" spans="1:12" ht="16.5" customHeight="1">
      <c r="A2" s="57"/>
      <c r="B2" s="80" t="s">
        <v>93</v>
      </c>
      <c r="C2" s="81"/>
      <c r="D2" s="81"/>
      <c r="E2" s="81"/>
      <c r="F2" s="81"/>
      <c r="G2" s="81"/>
      <c r="H2" s="81"/>
      <c r="I2" s="81"/>
      <c r="J2" s="81"/>
      <c r="K2" s="81"/>
      <c r="L2" s="19"/>
    </row>
    <row r="3" spans="1:12" ht="16.5" customHeight="1">
      <c r="A3" s="57"/>
      <c r="B3" s="81"/>
      <c r="C3" s="81"/>
      <c r="D3" s="81"/>
      <c r="E3" s="81"/>
      <c r="F3" s="81"/>
      <c r="G3" s="81"/>
      <c r="H3" s="81"/>
      <c r="I3" s="81"/>
      <c r="J3" s="81"/>
      <c r="K3" s="81"/>
      <c r="L3" s="19"/>
    </row>
    <row r="4" spans="1:12" ht="16.5" customHeight="1">
      <c r="A4" s="57"/>
      <c r="B4" s="85" t="s">
        <v>41</v>
      </c>
      <c r="C4" s="86"/>
      <c r="D4" s="87"/>
      <c r="E4" s="88"/>
      <c r="F4" s="89"/>
      <c r="G4" s="90" t="s">
        <v>47</v>
      </c>
      <c r="H4" s="90"/>
      <c r="I4" s="82"/>
      <c r="J4" s="83"/>
      <c r="K4" s="84"/>
      <c r="L4" s="19"/>
    </row>
    <row r="5" spans="1:12" ht="16.5" customHeight="1">
      <c r="A5" s="57"/>
      <c r="B5" s="85" t="s">
        <v>42</v>
      </c>
      <c r="C5" s="86"/>
      <c r="D5" s="87"/>
      <c r="E5" s="88"/>
      <c r="F5" s="89"/>
      <c r="G5" s="90"/>
      <c r="H5" s="90"/>
      <c r="I5" s="82"/>
      <c r="J5" s="83"/>
      <c r="K5" s="84"/>
      <c r="L5" s="19"/>
    </row>
    <row r="6" spans="1:12">
      <c r="A6" s="57"/>
      <c r="B6" s="13"/>
      <c r="C6" s="13"/>
      <c r="D6" s="13"/>
      <c r="E6" s="13"/>
      <c r="F6" s="13"/>
      <c r="G6" s="13"/>
      <c r="H6" s="13"/>
      <c r="I6" s="13"/>
      <c r="J6" s="13"/>
      <c r="K6" s="13"/>
      <c r="L6" s="19"/>
    </row>
    <row r="7" spans="1:12">
      <c r="A7" s="57"/>
      <c r="B7" s="93" t="s">
        <v>64</v>
      </c>
      <c r="C7" s="92"/>
      <c r="D7" s="91" t="s">
        <v>65</v>
      </c>
      <c r="E7" s="92"/>
      <c r="F7" s="49"/>
      <c r="G7" s="91" t="s">
        <v>66</v>
      </c>
      <c r="H7" s="92"/>
      <c r="I7" s="92"/>
      <c r="J7" s="49"/>
      <c r="K7" s="91" t="s">
        <v>67</v>
      </c>
      <c r="L7" s="19"/>
    </row>
    <row r="8" spans="1:12">
      <c r="A8" s="57"/>
      <c r="B8" s="92"/>
      <c r="C8" s="92"/>
      <c r="D8" s="92"/>
      <c r="E8" s="92"/>
      <c r="F8" s="49"/>
      <c r="G8" s="52" t="s">
        <v>85</v>
      </c>
      <c r="H8" s="52" t="s">
        <v>86</v>
      </c>
      <c r="I8" s="52" t="s">
        <v>87</v>
      </c>
      <c r="J8" s="49"/>
      <c r="K8" s="92"/>
      <c r="L8" s="19"/>
    </row>
    <row r="9" spans="1:12">
      <c r="A9" s="57"/>
      <c r="B9" s="67" t="s">
        <v>59</v>
      </c>
      <c r="C9" s="67">
        <v>1</v>
      </c>
      <c r="D9" s="67" t="s">
        <v>68</v>
      </c>
      <c r="E9" s="67"/>
      <c r="F9" s="51" t="s">
        <v>83</v>
      </c>
      <c r="G9" s="3">
        <v>18</v>
      </c>
      <c r="H9" s="3"/>
      <c r="I9" s="3"/>
      <c r="J9" s="46"/>
      <c r="K9" s="46"/>
      <c r="L9" s="19"/>
    </row>
    <row r="10" spans="1:12">
      <c r="A10" s="57"/>
      <c r="B10" s="67"/>
      <c r="C10" s="67"/>
      <c r="D10" s="67"/>
      <c r="E10" s="67"/>
      <c r="F10" s="51" t="s">
        <v>84</v>
      </c>
      <c r="G10" s="3">
        <f ca="1">SUM('MOD1-评分表'!L41)</f>
        <v>1</v>
      </c>
      <c r="H10" s="3"/>
      <c r="I10" s="3"/>
      <c r="J10" s="46"/>
      <c r="K10" s="3">
        <f>SUM(G10:J10)</f>
        <v>1</v>
      </c>
      <c r="L10" s="19"/>
    </row>
    <row r="11" spans="1:12">
      <c r="A11" s="57"/>
      <c r="B11" s="67" t="s">
        <v>59</v>
      </c>
      <c r="C11" s="67">
        <v>2</v>
      </c>
      <c r="D11" s="67" t="s">
        <v>69</v>
      </c>
      <c r="E11" s="67"/>
      <c r="F11" s="51" t="s">
        <v>83</v>
      </c>
      <c r="G11" s="3"/>
      <c r="H11" s="3">
        <v>18</v>
      </c>
      <c r="I11" s="3"/>
      <c r="J11" s="46"/>
      <c r="K11" s="46"/>
      <c r="L11" s="19"/>
    </row>
    <row r="12" spans="1:12">
      <c r="A12" s="57"/>
      <c r="B12" s="67"/>
      <c r="C12" s="67"/>
      <c r="D12" s="67"/>
      <c r="E12" s="67"/>
      <c r="F12" s="51" t="s">
        <v>84</v>
      </c>
      <c r="G12" s="3"/>
      <c r="H12" s="3">
        <f ca="1">SUM('MOD2-评分表'!L39)</f>
        <v>0</v>
      </c>
      <c r="I12" s="3"/>
      <c r="J12" s="46"/>
      <c r="K12" s="3">
        <f>SUM(G12:J12)</f>
        <v>0</v>
      </c>
      <c r="L12" s="19"/>
    </row>
    <row r="13" spans="1:12">
      <c r="A13" s="57"/>
      <c r="B13" s="67" t="s">
        <v>59</v>
      </c>
      <c r="C13" s="67">
        <v>3</v>
      </c>
      <c r="D13" s="67" t="s">
        <v>70</v>
      </c>
      <c r="E13" s="67"/>
      <c r="F13" s="51" t="s">
        <v>83</v>
      </c>
      <c r="G13" s="3"/>
      <c r="H13" s="3"/>
      <c r="I13" s="3">
        <v>18</v>
      </c>
      <c r="J13" s="46"/>
      <c r="K13" s="46"/>
      <c r="L13" s="19"/>
    </row>
    <row r="14" spans="1:12">
      <c r="A14" s="57"/>
      <c r="B14" s="67"/>
      <c r="C14" s="67"/>
      <c r="D14" s="67"/>
      <c r="E14" s="67"/>
      <c r="F14" s="51" t="s">
        <v>84</v>
      </c>
      <c r="G14" s="3"/>
      <c r="H14" s="3"/>
      <c r="I14" s="3"/>
      <c r="J14" s="46"/>
      <c r="K14" s="3">
        <f>SUM(G14:J14)</f>
        <v>0</v>
      </c>
      <c r="L14" s="19"/>
    </row>
    <row r="15" spans="1:12">
      <c r="A15" s="57"/>
      <c r="B15" s="67" t="s">
        <v>60</v>
      </c>
      <c r="C15" s="67">
        <v>1</v>
      </c>
      <c r="D15" s="67" t="s">
        <v>71</v>
      </c>
      <c r="E15" s="67"/>
      <c r="F15" s="51" t="s">
        <v>83</v>
      </c>
      <c r="G15" s="3">
        <v>7</v>
      </c>
      <c r="H15" s="3"/>
      <c r="I15" s="3"/>
      <c r="J15" s="46"/>
      <c r="K15" s="46"/>
      <c r="L15" s="19"/>
    </row>
    <row r="16" spans="1:12">
      <c r="A16" s="57"/>
      <c r="B16" s="67"/>
      <c r="C16" s="67"/>
      <c r="D16" s="67"/>
      <c r="E16" s="67"/>
      <c r="F16" s="51" t="s">
        <v>84</v>
      </c>
      <c r="G16" s="3">
        <f ca="1">SUM('MOD1-评分表'!L67)</f>
        <v>0</v>
      </c>
      <c r="H16" s="3"/>
      <c r="I16" s="3"/>
      <c r="J16" s="46"/>
      <c r="K16" s="3">
        <f>SUM(G16:J16)</f>
        <v>0</v>
      </c>
      <c r="L16" s="19"/>
    </row>
    <row r="17" spans="1:12">
      <c r="A17" s="57"/>
      <c r="B17" s="67" t="s">
        <v>60</v>
      </c>
      <c r="C17" s="67">
        <v>2</v>
      </c>
      <c r="D17" s="67" t="s">
        <v>72</v>
      </c>
      <c r="E17" s="67"/>
      <c r="F17" s="51" t="s">
        <v>83</v>
      </c>
      <c r="G17" s="3"/>
      <c r="H17" s="3">
        <v>7</v>
      </c>
      <c r="I17" s="3"/>
      <c r="J17" s="46"/>
      <c r="K17" s="46"/>
      <c r="L17" s="19"/>
    </row>
    <row r="18" spans="1:12">
      <c r="A18" s="57"/>
      <c r="B18" s="67"/>
      <c r="C18" s="67"/>
      <c r="D18" s="67"/>
      <c r="E18" s="67"/>
      <c r="F18" s="51" t="s">
        <v>84</v>
      </c>
      <c r="G18" s="3"/>
      <c r="H18" s="3">
        <f ca="1">SUM('MOD2-评分表'!L64)</f>
        <v>0</v>
      </c>
      <c r="I18" s="3"/>
      <c r="J18" s="46"/>
      <c r="K18" s="3">
        <f>SUM(G18:J18)</f>
        <v>0</v>
      </c>
      <c r="L18" s="19"/>
    </row>
    <row r="19" spans="1:12">
      <c r="A19" s="57"/>
      <c r="B19" s="67" t="s">
        <v>60</v>
      </c>
      <c r="C19" s="67">
        <v>3</v>
      </c>
      <c r="D19" s="67" t="s">
        <v>73</v>
      </c>
      <c r="E19" s="67"/>
      <c r="F19" s="51" t="s">
        <v>83</v>
      </c>
      <c r="G19" s="3"/>
      <c r="H19" s="3"/>
      <c r="I19" s="3">
        <v>7</v>
      </c>
      <c r="J19" s="46"/>
      <c r="K19" s="46"/>
      <c r="L19" s="19"/>
    </row>
    <row r="20" spans="1:12">
      <c r="A20" s="57"/>
      <c r="B20" s="67"/>
      <c r="C20" s="67"/>
      <c r="D20" s="67"/>
      <c r="E20" s="67"/>
      <c r="F20" s="51" t="s">
        <v>84</v>
      </c>
      <c r="G20" s="3"/>
      <c r="H20" s="3"/>
      <c r="I20" s="3"/>
      <c r="J20" s="46"/>
      <c r="K20" s="3">
        <f>SUM(G20:J20)</f>
        <v>0</v>
      </c>
      <c r="L20" s="19"/>
    </row>
    <row r="21" spans="1:12">
      <c r="A21" s="57"/>
      <c r="B21" s="67" t="s">
        <v>61</v>
      </c>
      <c r="C21" s="67">
        <v>1</v>
      </c>
      <c r="D21" s="67" t="s">
        <v>74</v>
      </c>
      <c r="E21" s="67"/>
      <c r="F21" s="51" t="s">
        <v>83</v>
      </c>
      <c r="G21" s="3">
        <v>3</v>
      </c>
      <c r="H21" s="3"/>
      <c r="I21" s="3"/>
      <c r="J21" s="46"/>
      <c r="K21" s="46"/>
      <c r="L21" s="19"/>
    </row>
    <row r="22" spans="1:12">
      <c r="A22" s="57"/>
      <c r="B22" s="67"/>
      <c r="C22" s="67"/>
      <c r="D22" s="67"/>
      <c r="E22" s="67"/>
      <c r="F22" s="51" t="s">
        <v>84</v>
      </c>
      <c r="G22" s="3">
        <f ca="1">SUM('MOD1-评分表'!L78)</f>
        <v>0</v>
      </c>
      <c r="H22" s="3"/>
      <c r="I22" s="3"/>
      <c r="J22" s="46"/>
      <c r="K22" s="3">
        <f>SUM(G22:J22)</f>
        <v>0</v>
      </c>
      <c r="L22" s="19"/>
    </row>
    <row r="23" spans="1:12">
      <c r="A23" s="57"/>
      <c r="B23" s="67" t="s">
        <v>61</v>
      </c>
      <c r="C23" s="67">
        <v>2</v>
      </c>
      <c r="D23" s="67" t="s">
        <v>75</v>
      </c>
      <c r="E23" s="67"/>
      <c r="F23" s="51" t="s">
        <v>83</v>
      </c>
      <c r="G23" s="3"/>
      <c r="H23" s="3">
        <v>3</v>
      </c>
      <c r="I23" s="3"/>
      <c r="J23" s="46"/>
      <c r="K23" s="46"/>
      <c r="L23" s="19"/>
    </row>
    <row r="24" spans="1:12">
      <c r="A24" s="57"/>
      <c r="B24" s="67"/>
      <c r="C24" s="67"/>
      <c r="D24" s="67"/>
      <c r="E24" s="67"/>
      <c r="F24" s="51" t="s">
        <v>84</v>
      </c>
      <c r="G24" s="3"/>
      <c r="H24" s="3">
        <f ca="1">SUM('MOD2-评分表'!L75)</f>
        <v>0</v>
      </c>
      <c r="I24" s="3"/>
      <c r="J24" s="46"/>
      <c r="K24" s="3">
        <f>SUM(G24:J24)</f>
        <v>0</v>
      </c>
      <c r="L24" s="19"/>
    </row>
    <row r="25" spans="1:12">
      <c r="A25" s="57"/>
      <c r="B25" s="67" t="s">
        <v>61</v>
      </c>
      <c r="C25" s="67">
        <v>3</v>
      </c>
      <c r="D25" s="67" t="s">
        <v>76</v>
      </c>
      <c r="E25" s="67"/>
      <c r="F25" s="51" t="s">
        <v>83</v>
      </c>
      <c r="G25" s="3"/>
      <c r="H25" s="3"/>
      <c r="I25" s="3">
        <v>3</v>
      </c>
      <c r="J25" s="46"/>
      <c r="K25" s="46"/>
      <c r="L25" s="19"/>
    </row>
    <row r="26" spans="1:12">
      <c r="A26" s="57"/>
      <c r="B26" s="67"/>
      <c r="C26" s="67"/>
      <c r="D26" s="67"/>
      <c r="E26" s="67"/>
      <c r="F26" s="51" t="s">
        <v>84</v>
      </c>
      <c r="G26" s="3"/>
      <c r="H26" s="3"/>
      <c r="I26" s="3"/>
      <c r="J26" s="46"/>
      <c r="K26" s="3">
        <f>SUM(G26:J26)</f>
        <v>0</v>
      </c>
      <c r="L26" s="19"/>
    </row>
    <row r="27" spans="1:12">
      <c r="A27" s="57"/>
      <c r="B27" s="67" t="s">
        <v>62</v>
      </c>
      <c r="C27" s="67">
        <v>1</v>
      </c>
      <c r="D27" s="67" t="s">
        <v>77</v>
      </c>
      <c r="E27" s="67"/>
      <c r="F27" s="51" t="s">
        <v>83</v>
      </c>
      <c r="G27" s="3">
        <v>3.3</v>
      </c>
      <c r="H27" s="3"/>
      <c r="I27" s="3"/>
      <c r="J27" s="46"/>
      <c r="K27" s="46"/>
      <c r="L27" s="19"/>
    </row>
    <row r="28" spans="1:12">
      <c r="A28" s="57"/>
      <c r="B28" s="67"/>
      <c r="C28" s="67"/>
      <c r="D28" s="67"/>
      <c r="E28" s="67"/>
      <c r="F28" s="51" t="s">
        <v>84</v>
      </c>
      <c r="G28" s="3">
        <f ca="1">SUM('MOD1-评分表'!L94)</f>
        <v>0</v>
      </c>
      <c r="H28" s="3"/>
      <c r="I28" s="3"/>
      <c r="J28" s="46"/>
      <c r="K28" s="3">
        <f>SUM(G28:J28)</f>
        <v>0</v>
      </c>
      <c r="L28" s="19"/>
    </row>
    <row r="29" spans="1:12">
      <c r="A29" s="57"/>
      <c r="B29" s="67" t="s">
        <v>62</v>
      </c>
      <c r="C29" s="67">
        <v>2</v>
      </c>
      <c r="D29" s="67" t="s">
        <v>78</v>
      </c>
      <c r="E29" s="67"/>
      <c r="F29" s="51" t="s">
        <v>83</v>
      </c>
      <c r="G29" s="3"/>
      <c r="H29" s="3">
        <v>3.3</v>
      </c>
      <c r="I29" s="3"/>
      <c r="J29" s="46"/>
      <c r="K29" s="46"/>
      <c r="L29" s="19"/>
    </row>
    <row r="30" spans="1:12">
      <c r="A30" s="57"/>
      <c r="B30" s="67"/>
      <c r="C30" s="67"/>
      <c r="D30" s="67"/>
      <c r="E30" s="67"/>
      <c r="F30" s="51" t="s">
        <v>84</v>
      </c>
      <c r="G30" s="3"/>
      <c r="H30" s="3">
        <f ca="1">SUM('MOD2-评分表'!L91)</f>
        <v>0</v>
      </c>
      <c r="I30" s="3"/>
      <c r="J30" s="46"/>
      <c r="K30" s="3">
        <f>SUM(G30:J30)</f>
        <v>0</v>
      </c>
      <c r="L30" s="19"/>
    </row>
    <row r="31" spans="1:12">
      <c r="A31" s="57"/>
      <c r="B31" s="67" t="s">
        <v>62</v>
      </c>
      <c r="C31" s="67">
        <v>3</v>
      </c>
      <c r="D31" s="67" t="s">
        <v>79</v>
      </c>
      <c r="E31" s="67"/>
      <c r="F31" s="51" t="s">
        <v>83</v>
      </c>
      <c r="G31" s="3"/>
      <c r="H31" s="3"/>
      <c r="I31" s="3">
        <v>3.4</v>
      </c>
      <c r="J31" s="46"/>
      <c r="K31" s="46"/>
      <c r="L31" s="19"/>
    </row>
    <row r="32" spans="1:12">
      <c r="A32" s="57"/>
      <c r="B32" s="67"/>
      <c r="C32" s="67"/>
      <c r="D32" s="67"/>
      <c r="E32" s="67"/>
      <c r="F32" s="51" t="s">
        <v>84</v>
      </c>
      <c r="G32" s="3"/>
      <c r="H32" s="3"/>
      <c r="I32" s="3"/>
      <c r="J32" s="46"/>
      <c r="K32" s="3">
        <f>SUM(G32:J32)</f>
        <v>0</v>
      </c>
      <c r="L32" s="19"/>
    </row>
    <row r="33" spans="1:12">
      <c r="A33" s="57"/>
      <c r="B33" s="67" t="s">
        <v>63</v>
      </c>
      <c r="C33" s="67">
        <v>1</v>
      </c>
      <c r="D33" s="67" t="s">
        <v>80</v>
      </c>
      <c r="E33" s="67"/>
      <c r="F33" s="51" t="s">
        <v>83</v>
      </c>
      <c r="G33" s="3">
        <v>2</v>
      </c>
      <c r="H33" s="3"/>
      <c r="I33" s="3"/>
      <c r="J33" s="46"/>
      <c r="K33" s="46"/>
      <c r="L33" s="19"/>
    </row>
    <row r="34" spans="1:12">
      <c r="A34" s="57"/>
      <c r="B34" s="67"/>
      <c r="C34" s="67"/>
      <c r="D34" s="67"/>
      <c r="E34" s="67"/>
      <c r="F34" s="51" t="s">
        <v>84</v>
      </c>
      <c r="G34" s="3">
        <f ca="1">SUM('MOD1-评分表'!L98)</f>
        <v>2</v>
      </c>
      <c r="H34" s="3"/>
      <c r="I34" s="3"/>
      <c r="J34" s="46"/>
      <c r="K34" s="3">
        <f>SUM(G34:J34)</f>
        <v>2</v>
      </c>
      <c r="L34" s="19"/>
    </row>
    <row r="35" spans="1:12">
      <c r="A35" s="57"/>
      <c r="B35" s="67" t="s">
        <v>63</v>
      </c>
      <c r="C35" s="67">
        <v>2</v>
      </c>
      <c r="D35" s="67" t="s">
        <v>81</v>
      </c>
      <c r="E35" s="67"/>
      <c r="F35" s="51" t="s">
        <v>83</v>
      </c>
      <c r="G35" s="3"/>
      <c r="H35" s="3">
        <v>2</v>
      </c>
      <c r="I35" s="3"/>
      <c r="J35" s="46"/>
      <c r="K35" s="46"/>
      <c r="L35" s="19"/>
    </row>
    <row r="36" spans="1:12">
      <c r="A36" s="57"/>
      <c r="B36" s="67"/>
      <c r="C36" s="67"/>
      <c r="D36" s="67"/>
      <c r="E36" s="67"/>
      <c r="F36" s="51" t="s">
        <v>84</v>
      </c>
      <c r="G36" s="3"/>
      <c r="H36" s="3">
        <f ca="1">SUM('MOD2-评分表'!L95)</f>
        <v>2</v>
      </c>
      <c r="I36" s="3"/>
      <c r="J36" s="46"/>
      <c r="K36" s="3">
        <f>SUM(G36:J36)</f>
        <v>2</v>
      </c>
      <c r="L36" s="19"/>
    </row>
    <row r="37" spans="1:12">
      <c r="A37" s="57"/>
      <c r="B37" s="67" t="s">
        <v>63</v>
      </c>
      <c r="C37" s="67">
        <v>3</v>
      </c>
      <c r="D37" s="67" t="s">
        <v>82</v>
      </c>
      <c r="E37" s="67"/>
      <c r="F37" s="51" t="s">
        <v>83</v>
      </c>
      <c r="G37" s="3"/>
      <c r="H37" s="3"/>
      <c r="I37" s="3">
        <v>2</v>
      </c>
      <c r="J37" s="46"/>
      <c r="K37" s="46"/>
      <c r="L37" s="19"/>
    </row>
    <row r="38" spans="1:12">
      <c r="A38" s="57"/>
      <c r="B38" s="67"/>
      <c r="C38" s="67"/>
      <c r="D38" s="67"/>
      <c r="E38" s="67"/>
      <c r="F38" s="51" t="s">
        <v>84</v>
      </c>
      <c r="G38" s="3"/>
      <c r="H38" s="3"/>
      <c r="I38" s="3"/>
      <c r="J38" s="46"/>
      <c r="K38" s="3">
        <f>SUM(G38:J38)</f>
        <v>0</v>
      </c>
      <c r="L38" s="19"/>
    </row>
    <row r="39" spans="1:12">
      <c r="A39" s="57"/>
      <c r="B39" s="53"/>
      <c r="C39" s="53"/>
      <c r="D39" s="53"/>
      <c r="E39" s="50"/>
      <c r="F39" s="48"/>
      <c r="G39" s="47"/>
      <c r="H39" s="47"/>
      <c r="I39" s="47"/>
      <c r="J39" s="47"/>
      <c r="K39" s="47"/>
      <c r="L39" s="19"/>
    </row>
    <row r="40" spans="1:12">
      <c r="A40" s="57"/>
      <c r="B40" s="53"/>
      <c r="C40" s="53"/>
      <c r="D40" s="53"/>
      <c r="E40" s="50"/>
      <c r="F40" s="51" t="s">
        <v>83</v>
      </c>
      <c r="G40" s="3">
        <f>SUM(G9+G15+G21+G27+G33)</f>
        <v>33.299999999999997</v>
      </c>
      <c r="H40" s="3">
        <f>SUM(H11+H17+H23+H29+H35)</f>
        <v>33.299999999999997</v>
      </c>
      <c r="I40" s="3">
        <f>SUM(I13+I19+I25+I31+I37)</f>
        <v>33.4</v>
      </c>
      <c r="J40" s="51" t="s">
        <v>83</v>
      </c>
      <c r="K40" s="3">
        <f>SUM(G40:J40)</f>
        <v>100</v>
      </c>
      <c r="L40" s="19"/>
    </row>
    <row r="41" spans="1:12" ht="14.25" customHeight="1">
      <c r="A41" s="57"/>
      <c r="B41" s="53"/>
      <c r="C41" s="53"/>
      <c r="D41" s="53"/>
      <c r="E41" s="50"/>
      <c r="F41" s="51" t="s">
        <v>84</v>
      </c>
      <c r="G41" s="3">
        <f>SUM(G10+G16+G22+G28+G34)</f>
        <v>3</v>
      </c>
      <c r="H41" s="3">
        <f>SUM(H12+H18+H24+H30+H36)</f>
        <v>2</v>
      </c>
      <c r="I41" s="3">
        <v>0</v>
      </c>
      <c r="J41" s="51" t="s">
        <v>88</v>
      </c>
      <c r="K41" s="59">
        <f>SUM(G41:J41)</f>
        <v>5</v>
      </c>
      <c r="L41" s="19"/>
    </row>
    <row r="42" spans="1:12">
      <c r="A42" s="57"/>
      <c r="B42" s="53"/>
      <c r="C42" s="53"/>
      <c r="D42" s="53"/>
      <c r="E42" s="50"/>
      <c r="F42" s="47"/>
      <c r="G42" s="47"/>
      <c r="H42" s="47"/>
      <c r="I42" s="47"/>
      <c r="J42" s="47"/>
      <c r="K42" s="13"/>
      <c r="L42" s="19"/>
    </row>
    <row r="43" spans="1:12">
      <c r="A43" s="57"/>
      <c r="B43" s="53"/>
      <c r="C43" s="53"/>
      <c r="D43" s="53"/>
      <c r="E43" s="50"/>
      <c r="F43" s="47"/>
      <c r="G43" s="74" t="s">
        <v>90</v>
      </c>
      <c r="H43" s="74"/>
      <c r="I43" s="75"/>
      <c r="J43" s="75"/>
      <c r="K43" s="75"/>
      <c r="L43" s="19"/>
    </row>
    <row r="44" spans="1:12">
      <c r="A44" s="57"/>
      <c r="B44" s="13"/>
      <c r="C44" s="13"/>
      <c r="D44" s="13"/>
      <c r="E44" s="13"/>
      <c r="F44" s="13"/>
      <c r="G44" s="74"/>
      <c r="H44" s="74"/>
      <c r="I44" s="75"/>
      <c r="J44" s="75"/>
      <c r="K44" s="75"/>
      <c r="L44" s="19"/>
    </row>
    <row r="45" spans="1:12">
      <c r="A45" s="57"/>
      <c r="B45" s="13"/>
      <c r="C45" s="13"/>
      <c r="D45" s="13"/>
      <c r="E45" s="13"/>
      <c r="F45" s="13"/>
      <c r="G45" s="76" t="s">
        <v>89</v>
      </c>
      <c r="H45" s="77"/>
      <c r="I45" s="68"/>
      <c r="J45" s="69"/>
      <c r="K45" s="70"/>
      <c r="L45" s="19"/>
    </row>
    <row r="46" spans="1:12">
      <c r="A46" s="57"/>
      <c r="B46" s="13"/>
      <c r="C46" s="13"/>
      <c r="D46" s="13"/>
      <c r="E46" s="13"/>
      <c r="F46" s="13"/>
      <c r="G46" s="78"/>
      <c r="H46" s="79"/>
      <c r="I46" s="71"/>
      <c r="J46" s="72"/>
      <c r="K46" s="73"/>
      <c r="L46" s="19"/>
    </row>
    <row r="47" spans="1:12" ht="14.25" thickBot="1">
      <c r="A47" s="58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5"/>
    </row>
  </sheetData>
  <protectedRanges>
    <protectedRange sqref="B2" name="区域1"/>
    <protectedRange sqref="E4:F5" name="区域2"/>
    <protectedRange sqref="I4:K5" name="区域3"/>
  </protectedRanges>
  <mergeCells count="62">
    <mergeCell ref="B21:B22"/>
    <mergeCell ref="C21:C22"/>
    <mergeCell ref="D21:E22"/>
    <mergeCell ref="D19:E20"/>
    <mergeCell ref="B19:B20"/>
    <mergeCell ref="C19:C20"/>
    <mergeCell ref="K7:K8"/>
    <mergeCell ref="B9:B10"/>
    <mergeCell ref="C9:C10"/>
    <mergeCell ref="B11:B12"/>
    <mergeCell ref="C11:C12"/>
    <mergeCell ref="B7:C8"/>
    <mergeCell ref="G7:I7"/>
    <mergeCell ref="D7:E8"/>
    <mergeCell ref="D9:E10"/>
    <mergeCell ref="D11:E12"/>
    <mergeCell ref="D13:E14"/>
    <mergeCell ref="B13:B14"/>
    <mergeCell ref="C13:C14"/>
    <mergeCell ref="B17:B18"/>
    <mergeCell ref="C17:C18"/>
    <mergeCell ref="D17:E18"/>
    <mergeCell ref="B15:B16"/>
    <mergeCell ref="C15:C16"/>
    <mergeCell ref="D15:E16"/>
    <mergeCell ref="B2:K3"/>
    <mergeCell ref="I5:K5"/>
    <mergeCell ref="I4:K4"/>
    <mergeCell ref="B4:D4"/>
    <mergeCell ref="E4:F4"/>
    <mergeCell ref="G4:H4"/>
    <mergeCell ref="B5:D5"/>
    <mergeCell ref="E5:F5"/>
    <mergeCell ref="G5:H5"/>
    <mergeCell ref="B23:B24"/>
    <mergeCell ref="C23:C24"/>
    <mergeCell ref="D23:E24"/>
    <mergeCell ref="B25:B26"/>
    <mergeCell ref="C25:C26"/>
    <mergeCell ref="D25:E26"/>
    <mergeCell ref="B27:B28"/>
    <mergeCell ref="C27:C28"/>
    <mergeCell ref="B37:B38"/>
    <mergeCell ref="D33:E34"/>
    <mergeCell ref="B33:B34"/>
    <mergeCell ref="B29:B30"/>
    <mergeCell ref="C33:C34"/>
    <mergeCell ref="C31:C32"/>
    <mergeCell ref="D27:E28"/>
    <mergeCell ref="B35:B36"/>
    <mergeCell ref="C35:C36"/>
    <mergeCell ref="D35:E36"/>
    <mergeCell ref="B31:B32"/>
    <mergeCell ref="D29:E30"/>
    <mergeCell ref="D31:E32"/>
    <mergeCell ref="C29:C30"/>
    <mergeCell ref="C37:C38"/>
    <mergeCell ref="I45:K46"/>
    <mergeCell ref="G43:H44"/>
    <mergeCell ref="I43:K44"/>
    <mergeCell ref="D37:E38"/>
    <mergeCell ref="G45:H46"/>
  </mergeCells>
  <phoneticPr fontId="2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W104"/>
  <sheetViews>
    <sheetView tabSelected="1" topLeftCell="B61" workbookViewId="0">
      <selection activeCell="D76" sqref="D76"/>
    </sheetView>
  </sheetViews>
  <sheetFormatPr defaultRowHeight="13.5"/>
  <cols>
    <col min="2" max="2" width="4.75" customWidth="1"/>
    <col min="3" max="3" width="5.125" customWidth="1"/>
    <col min="5" max="5" width="8.875" customWidth="1"/>
    <col min="6" max="6" width="9.875" customWidth="1"/>
    <col min="7" max="11" width="8.875" style="7" customWidth="1"/>
    <col min="12" max="13" width="6.625" customWidth="1"/>
    <col min="15" max="23" width="9" hidden="1" customWidth="1"/>
    <col min="24" max="24" width="0" hidden="1" customWidth="1"/>
  </cols>
  <sheetData>
    <row r="1" spans="2:13" ht="16.5" customHeight="1">
      <c r="B1" s="105" t="s">
        <v>94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7"/>
    </row>
    <row r="2" spans="2:13" ht="16.5" customHeight="1">
      <c r="B2" s="108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3" ht="16.5" customHeight="1">
      <c r="B3" s="111" t="s">
        <v>41</v>
      </c>
      <c r="C3" s="86"/>
      <c r="D3" s="87"/>
      <c r="E3" s="85" t="str">
        <f ca="1">T(成绩单!E4)</f>
        <v/>
      </c>
      <c r="F3" s="87"/>
      <c r="G3" s="85" t="s">
        <v>47</v>
      </c>
      <c r="H3" s="87"/>
      <c r="I3" s="85" t="str">
        <f ca="1">T(成绩单!I4)</f>
        <v/>
      </c>
      <c r="J3" s="87"/>
      <c r="K3" s="10"/>
      <c r="L3" s="74"/>
      <c r="M3" s="115"/>
    </row>
    <row r="4" spans="2:13" ht="16.5" customHeight="1" thickBot="1">
      <c r="B4" s="112" t="s">
        <v>42</v>
      </c>
      <c r="C4" s="113"/>
      <c r="D4" s="114"/>
      <c r="E4" s="94" t="str">
        <f ca="1">T(成绩单!E5)</f>
        <v/>
      </c>
      <c r="F4" s="114"/>
      <c r="G4" s="94" t="s">
        <v>48</v>
      </c>
      <c r="H4" s="114"/>
      <c r="I4" s="126" t="s">
        <v>46</v>
      </c>
      <c r="J4" s="126"/>
      <c r="K4" s="15" t="s">
        <v>43</v>
      </c>
      <c r="L4" s="94">
        <f>SUM(L7:L97)</f>
        <v>4</v>
      </c>
      <c r="M4" s="95"/>
    </row>
    <row r="5" spans="2:13" ht="5.25" customHeight="1" thickBot="1"/>
    <row r="6" spans="2:13" ht="14.25" thickBot="1">
      <c r="B6" s="32" t="s">
        <v>14</v>
      </c>
      <c r="C6" s="33" t="s">
        <v>0</v>
      </c>
      <c r="D6" s="33" t="s">
        <v>1</v>
      </c>
      <c r="E6" s="33" t="s">
        <v>9</v>
      </c>
      <c r="F6" s="33" t="s">
        <v>2</v>
      </c>
      <c r="G6" s="33" t="s">
        <v>3</v>
      </c>
      <c r="H6" s="33" t="s">
        <v>4</v>
      </c>
      <c r="I6" s="33" t="s">
        <v>5</v>
      </c>
      <c r="J6" s="33" t="s">
        <v>6</v>
      </c>
      <c r="K6" s="33" t="s">
        <v>7</v>
      </c>
      <c r="L6" s="33" t="s">
        <v>8</v>
      </c>
      <c r="M6" s="33" t="s">
        <v>91</v>
      </c>
    </row>
    <row r="7" spans="2:13">
      <c r="B7" s="60" t="s">
        <v>29</v>
      </c>
      <c r="C7" s="61"/>
      <c r="D7" s="61"/>
      <c r="E7" s="61"/>
      <c r="F7" s="61"/>
      <c r="G7" s="61"/>
      <c r="H7" s="61"/>
      <c r="I7" s="61"/>
      <c r="J7" s="61"/>
      <c r="K7" s="61"/>
      <c r="L7" s="63" t="s">
        <v>92</v>
      </c>
      <c r="M7" s="64">
        <v>3.0000000000000001E-3</v>
      </c>
    </row>
    <row r="8" spans="2:13">
      <c r="B8" s="16">
        <v>1</v>
      </c>
      <c r="C8" s="3">
        <v>1.5</v>
      </c>
      <c r="D8" s="3" t="s">
        <v>20</v>
      </c>
      <c r="E8" s="3" t="s">
        <v>23</v>
      </c>
      <c r="F8" s="3">
        <v>11</v>
      </c>
      <c r="G8" s="3">
        <v>1.4999999999999999E-2</v>
      </c>
      <c r="H8" s="3">
        <v>-1.4999999999999999E-2</v>
      </c>
      <c r="I8" s="3">
        <f>SUM(F8+G8)</f>
        <v>11.015000000000001</v>
      </c>
      <c r="J8" s="3">
        <f>SUM(F8+H8)</f>
        <v>10.984999999999999</v>
      </c>
      <c r="K8" s="5"/>
      <c r="L8" s="3">
        <f>IF(K8&gt;=(J8-M8-$M$7),(IF(K8&lt;=(I8+M8+$M$7),C8,0)),0)</f>
        <v>0</v>
      </c>
      <c r="M8" s="17"/>
    </row>
    <row r="9" spans="2:13">
      <c r="B9" s="16">
        <v>2</v>
      </c>
      <c r="C9" s="3">
        <v>1</v>
      </c>
      <c r="D9" s="3" t="s">
        <v>139</v>
      </c>
      <c r="E9" s="3" t="s">
        <v>23</v>
      </c>
      <c r="F9" s="3">
        <v>10</v>
      </c>
      <c r="G9" s="3">
        <v>0.02</v>
      </c>
      <c r="H9" s="3">
        <v>0</v>
      </c>
      <c r="I9" s="3">
        <f t="shared" ref="I9:I30" si="0">SUM(F9+G9)</f>
        <v>10.02</v>
      </c>
      <c r="J9" s="3">
        <f t="shared" ref="J9:J30" si="1">SUM(F9+H9)</f>
        <v>10</v>
      </c>
      <c r="K9" s="5"/>
      <c r="L9" s="3">
        <f>IF(K9&gt;=(J9-M9-$M$7),(IF(K9&lt;=(I9+M9+$M$7),C9,0)),0)</f>
        <v>0</v>
      </c>
      <c r="M9" s="17"/>
    </row>
    <row r="10" spans="2:13">
      <c r="B10" s="16">
        <v>3</v>
      </c>
      <c r="C10" s="3">
        <v>1.5</v>
      </c>
      <c r="D10" s="3" t="s">
        <v>140</v>
      </c>
      <c r="E10" s="3" t="s">
        <v>23</v>
      </c>
      <c r="F10" s="3">
        <v>12</v>
      </c>
      <c r="G10" s="3">
        <v>0.01</v>
      </c>
      <c r="H10" s="3">
        <v>-0.01</v>
      </c>
      <c r="I10" s="3">
        <f t="shared" si="0"/>
        <v>12.01</v>
      </c>
      <c r="J10" s="3">
        <f t="shared" si="1"/>
        <v>11.99</v>
      </c>
      <c r="K10" s="5"/>
      <c r="L10" s="3">
        <f t="shared" ref="L10:L30" si="2">IF(K10&gt;=(J10-M10-$M$7),(IF(K10&lt;=(I10+M10+$M$7),C10,0)),0)</f>
        <v>0</v>
      </c>
      <c r="M10" s="17"/>
    </row>
    <row r="11" spans="2:13">
      <c r="B11" s="16">
        <v>4</v>
      </c>
      <c r="C11" s="3">
        <v>1</v>
      </c>
      <c r="D11" s="3" t="s">
        <v>141</v>
      </c>
      <c r="E11" s="3" t="s">
        <v>23</v>
      </c>
      <c r="F11" s="3">
        <v>10</v>
      </c>
      <c r="G11" s="3">
        <v>0.02</v>
      </c>
      <c r="H11" s="3">
        <v>0</v>
      </c>
      <c r="I11" s="3">
        <f t="shared" si="0"/>
        <v>10.02</v>
      </c>
      <c r="J11" s="3">
        <f t="shared" si="1"/>
        <v>10</v>
      </c>
      <c r="K11" s="5"/>
      <c r="L11" s="3">
        <f t="shared" si="2"/>
        <v>0</v>
      </c>
      <c r="M11" s="17"/>
    </row>
    <row r="12" spans="2:13">
      <c r="B12" s="16">
        <v>5</v>
      </c>
      <c r="C12" s="3">
        <v>1</v>
      </c>
      <c r="D12" s="3" t="s">
        <v>142</v>
      </c>
      <c r="E12" s="3" t="s">
        <v>23</v>
      </c>
      <c r="F12" s="3">
        <v>92</v>
      </c>
      <c r="G12" s="3">
        <v>0.04</v>
      </c>
      <c r="H12" s="3">
        <v>0</v>
      </c>
      <c r="I12" s="3">
        <f t="shared" si="0"/>
        <v>92.04</v>
      </c>
      <c r="J12" s="3">
        <f t="shared" si="1"/>
        <v>92</v>
      </c>
      <c r="K12" s="5"/>
      <c r="L12" s="3">
        <f t="shared" si="2"/>
        <v>0</v>
      </c>
      <c r="M12" s="17"/>
    </row>
    <row r="13" spans="2:13">
      <c r="B13" s="16">
        <v>6</v>
      </c>
      <c r="C13" s="3">
        <v>1</v>
      </c>
      <c r="D13" s="3" t="s">
        <v>142</v>
      </c>
      <c r="E13" s="3" t="s">
        <v>23</v>
      </c>
      <c r="F13" s="3">
        <v>80</v>
      </c>
      <c r="G13" s="3">
        <v>0.03</v>
      </c>
      <c r="H13" s="3">
        <v>0</v>
      </c>
      <c r="I13" s="3">
        <f t="shared" si="0"/>
        <v>80.03</v>
      </c>
      <c r="J13" s="3">
        <f t="shared" si="1"/>
        <v>80</v>
      </c>
      <c r="K13" s="5"/>
      <c r="L13" s="3">
        <f t="shared" si="2"/>
        <v>0</v>
      </c>
      <c r="M13" s="17"/>
    </row>
    <row r="14" spans="2:13">
      <c r="B14" s="16">
        <v>7</v>
      </c>
      <c r="C14" s="3">
        <v>1</v>
      </c>
      <c r="D14" s="3" t="s">
        <v>16</v>
      </c>
      <c r="E14" s="3" t="s">
        <v>168</v>
      </c>
      <c r="F14" s="3">
        <v>20</v>
      </c>
      <c r="G14" s="3">
        <v>0.01</v>
      </c>
      <c r="H14" s="3">
        <v>-0.01</v>
      </c>
      <c r="I14" s="3">
        <f t="shared" si="0"/>
        <v>20.010000000000002</v>
      </c>
      <c r="J14" s="3">
        <f t="shared" si="1"/>
        <v>19.989999999999998</v>
      </c>
      <c r="K14" s="5"/>
      <c r="L14" s="3">
        <f t="shared" si="2"/>
        <v>0</v>
      </c>
      <c r="M14" s="17"/>
    </row>
    <row r="15" spans="2:13">
      <c r="B15" s="16">
        <v>8</v>
      </c>
      <c r="C15" s="3">
        <v>1.5</v>
      </c>
      <c r="D15" s="3" t="s">
        <v>142</v>
      </c>
      <c r="E15" s="3" t="s">
        <v>168</v>
      </c>
      <c r="F15" s="3">
        <v>7</v>
      </c>
      <c r="G15" s="3">
        <v>0.02</v>
      </c>
      <c r="H15" s="3">
        <v>0</v>
      </c>
      <c r="I15" s="3">
        <f t="shared" si="0"/>
        <v>7.02</v>
      </c>
      <c r="J15" s="3">
        <f t="shared" si="1"/>
        <v>7</v>
      </c>
      <c r="K15" s="5"/>
      <c r="L15" s="3">
        <f t="shared" si="2"/>
        <v>0</v>
      </c>
      <c r="M15" s="17"/>
    </row>
    <row r="16" spans="2:13">
      <c r="B16" s="16">
        <v>9</v>
      </c>
      <c r="C16" s="3">
        <v>1</v>
      </c>
      <c r="D16" s="3" t="s">
        <v>143</v>
      </c>
      <c r="E16" s="3" t="s">
        <v>168</v>
      </c>
      <c r="F16" s="3">
        <v>80</v>
      </c>
      <c r="G16" s="3">
        <v>0</v>
      </c>
      <c r="H16" s="3">
        <v>-0.03</v>
      </c>
      <c r="I16" s="3">
        <f t="shared" si="0"/>
        <v>80</v>
      </c>
      <c r="J16" s="3">
        <f t="shared" si="1"/>
        <v>79.97</v>
      </c>
      <c r="K16" s="5"/>
      <c r="L16" s="3">
        <f t="shared" si="2"/>
        <v>0</v>
      </c>
      <c r="M16" s="17"/>
    </row>
    <row r="17" spans="2:13">
      <c r="B17" s="16">
        <v>10</v>
      </c>
      <c r="C17" s="3">
        <v>1</v>
      </c>
      <c r="D17" s="3" t="s">
        <v>143</v>
      </c>
      <c r="E17" s="3" t="s">
        <v>168</v>
      </c>
      <c r="F17" s="3">
        <v>92</v>
      </c>
      <c r="G17" s="3">
        <v>0.02</v>
      </c>
      <c r="H17" s="3">
        <v>-0.02</v>
      </c>
      <c r="I17" s="3">
        <f t="shared" si="0"/>
        <v>92.02</v>
      </c>
      <c r="J17" s="3">
        <f t="shared" si="1"/>
        <v>91.98</v>
      </c>
      <c r="K17" s="5"/>
      <c r="L17" s="3">
        <f t="shared" si="2"/>
        <v>0</v>
      </c>
      <c r="M17" s="17"/>
    </row>
    <row r="18" spans="2:13">
      <c r="B18" s="16">
        <v>11</v>
      </c>
      <c r="C18" s="3">
        <v>1.5</v>
      </c>
      <c r="D18" s="3" t="s">
        <v>166</v>
      </c>
      <c r="E18" s="3" t="s">
        <v>169</v>
      </c>
      <c r="F18" s="3">
        <v>20</v>
      </c>
      <c r="G18" s="3">
        <v>0.02</v>
      </c>
      <c r="H18" s="3">
        <v>0</v>
      </c>
      <c r="I18" s="3">
        <f t="shared" si="0"/>
        <v>20.02</v>
      </c>
      <c r="J18" s="3">
        <f t="shared" si="1"/>
        <v>20</v>
      </c>
      <c r="K18" s="5"/>
      <c r="L18" s="3">
        <f t="shared" si="2"/>
        <v>0</v>
      </c>
      <c r="M18" s="17"/>
    </row>
    <row r="19" spans="2:13">
      <c r="B19" s="16">
        <v>12</v>
      </c>
      <c r="C19" s="3">
        <v>1</v>
      </c>
      <c r="D19" s="3" t="s">
        <v>167</v>
      </c>
      <c r="E19" s="3" t="s">
        <v>169</v>
      </c>
      <c r="F19" s="3">
        <v>10</v>
      </c>
      <c r="G19" s="3">
        <v>1.7999999999999999E-2</v>
      </c>
      <c r="H19" s="3">
        <v>0</v>
      </c>
      <c r="I19" s="3">
        <f t="shared" si="0"/>
        <v>10.018000000000001</v>
      </c>
      <c r="J19" s="3">
        <f t="shared" si="1"/>
        <v>10</v>
      </c>
      <c r="K19" s="5"/>
      <c r="L19" s="3">
        <f t="shared" si="2"/>
        <v>0</v>
      </c>
      <c r="M19" s="17"/>
    </row>
    <row r="20" spans="2:13">
      <c r="B20" s="16">
        <v>13</v>
      </c>
      <c r="C20" s="3">
        <v>1</v>
      </c>
      <c r="D20" s="3" t="s">
        <v>144</v>
      </c>
      <c r="E20" s="3" t="s">
        <v>168</v>
      </c>
      <c r="F20" s="3">
        <v>20</v>
      </c>
      <c r="G20" s="3">
        <v>0.02</v>
      </c>
      <c r="H20" s="3">
        <v>0</v>
      </c>
      <c r="I20" s="3">
        <f t="shared" si="0"/>
        <v>20.02</v>
      </c>
      <c r="J20" s="3">
        <f t="shared" si="1"/>
        <v>20</v>
      </c>
      <c r="K20" s="5"/>
      <c r="L20" s="3">
        <f t="shared" si="2"/>
        <v>0</v>
      </c>
      <c r="M20" s="17"/>
    </row>
    <row r="21" spans="2:13">
      <c r="B21" s="16">
        <v>14</v>
      </c>
      <c r="C21" s="3">
        <v>1.5</v>
      </c>
      <c r="D21" s="3" t="s">
        <v>145</v>
      </c>
      <c r="E21" s="3" t="s">
        <v>168</v>
      </c>
      <c r="F21" s="3">
        <v>15</v>
      </c>
      <c r="G21" s="3">
        <v>0.02</v>
      </c>
      <c r="H21" s="3">
        <v>0</v>
      </c>
      <c r="I21" s="3">
        <f t="shared" si="0"/>
        <v>15.02</v>
      </c>
      <c r="J21" s="3">
        <f t="shared" si="1"/>
        <v>15</v>
      </c>
      <c r="K21" s="5"/>
      <c r="L21" s="3">
        <f t="shared" si="2"/>
        <v>0</v>
      </c>
      <c r="M21" s="17"/>
    </row>
    <row r="22" spans="2:13">
      <c r="B22" s="16">
        <v>15</v>
      </c>
      <c r="C22" s="3">
        <v>1</v>
      </c>
      <c r="D22" s="3" t="s">
        <v>146</v>
      </c>
      <c r="E22" s="3" t="s">
        <v>168</v>
      </c>
      <c r="F22" s="3">
        <v>36</v>
      </c>
      <c r="G22" s="3">
        <v>0.02</v>
      </c>
      <c r="H22" s="3">
        <v>0</v>
      </c>
      <c r="I22" s="3">
        <f t="shared" si="0"/>
        <v>36.020000000000003</v>
      </c>
      <c r="J22" s="3">
        <f t="shared" si="1"/>
        <v>36</v>
      </c>
      <c r="K22" s="5"/>
      <c r="L22" s="3">
        <f t="shared" si="2"/>
        <v>0</v>
      </c>
      <c r="M22" s="17"/>
    </row>
    <row r="23" spans="2:13">
      <c r="B23" s="16">
        <v>16</v>
      </c>
      <c r="C23" s="3">
        <v>1.5</v>
      </c>
      <c r="D23" s="3" t="s">
        <v>146</v>
      </c>
      <c r="E23" s="3" t="s">
        <v>168</v>
      </c>
      <c r="F23" s="3">
        <v>12</v>
      </c>
      <c r="G23" s="3">
        <v>0</v>
      </c>
      <c r="H23" s="3">
        <v>-0.02</v>
      </c>
      <c r="I23" s="3">
        <f t="shared" si="0"/>
        <v>12</v>
      </c>
      <c r="J23" s="3">
        <f t="shared" si="1"/>
        <v>11.98</v>
      </c>
      <c r="K23" s="5"/>
      <c r="L23" s="3">
        <f t="shared" si="2"/>
        <v>0</v>
      </c>
      <c r="M23" s="17"/>
    </row>
    <row r="24" spans="2:13">
      <c r="B24" s="16">
        <v>17</v>
      </c>
      <c r="C24" s="3">
        <v>1</v>
      </c>
      <c r="D24" s="3" t="s">
        <v>147</v>
      </c>
      <c r="E24" s="3" t="s">
        <v>168</v>
      </c>
      <c r="F24" s="3">
        <v>5</v>
      </c>
      <c r="G24" s="3">
        <v>0.02</v>
      </c>
      <c r="H24" s="3">
        <v>0</v>
      </c>
      <c r="I24" s="3">
        <f>SUM(G24)</f>
        <v>0.02</v>
      </c>
      <c r="J24" s="3">
        <f>SUM(H24)</f>
        <v>0</v>
      </c>
      <c r="K24" s="5"/>
      <c r="L24" s="3">
        <f>IF(K24&gt;=(J24-M24),(IF(K24&lt;=(I24+M24),C24,0)),0)</f>
        <v>1</v>
      </c>
      <c r="M24" s="17"/>
    </row>
    <row r="25" spans="2:13">
      <c r="B25" s="16">
        <v>18</v>
      </c>
      <c r="C25" s="3">
        <v>1</v>
      </c>
      <c r="D25" s="3" t="s">
        <v>17</v>
      </c>
      <c r="E25" s="3" t="s">
        <v>168</v>
      </c>
      <c r="F25" s="3">
        <v>16</v>
      </c>
      <c r="G25" s="3">
        <v>0.02</v>
      </c>
      <c r="H25" s="3">
        <v>0</v>
      </c>
      <c r="I25" s="3">
        <f t="shared" si="0"/>
        <v>16.02</v>
      </c>
      <c r="J25" s="3">
        <f t="shared" si="1"/>
        <v>16</v>
      </c>
      <c r="K25" s="5"/>
      <c r="L25" s="3">
        <f t="shared" si="2"/>
        <v>0</v>
      </c>
      <c r="M25" s="17"/>
    </row>
    <row r="26" spans="2:13">
      <c r="B26" s="16">
        <v>19</v>
      </c>
      <c r="C26" s="3">
        <v>1.5</v>
      </c>
      <c r="D26" s="3" t="s">
        <v>148</v>
      </c>
      <c r="E26" s="3" t="s">
        <v>168</v>
      </c>
      <c r="F26" s="3">
        <v>9</v>
      </c>
      <c r="G26" s="3">
        <v>0.02</v>
      </c>
      <c r="H26" s="3">
        <v>0</v>
      </c>
      <c r="I26" s="3">
        <f t="shared" si="0"/>
        <v>9.02</v>
      </c>
      <c r="J26" s="3">
        <f t="shared" si="1"/>
        <v>9</v>
      </c>
      <c r="K26" s="5"/>
      <c r="L26" s="3">
        <f t="shared" si="2"/>
        <v>0</v>
      </c>
      <c r="M26" s="17"/>
    </row>
    <row r="27" spans="2:13">
      <c r="B27" s="16">
        <v>20</v>
      </c>
      <c r="C27" s="3">
        <v>1</v>
      </c>
      <c r="D27" s="3" t="s">
        <v>18</v>
      </c>
      <c r="E27" s="3" t="s">
        <v>168</v>
      </c>
      <c r="F27" s="3">
        <v>98</v>
      </c>
      <c r="G27" s="3">
        <v>0.03</v>
      </c>
      <c r="H27" s="3">
        <v>0.06</v>
      </c>
      <c r="I27" s="3">
        <f t="shared" si="0"/>
        <v>98.03</v>
      </c>
      <c r="J27" s="3">
        <f t="shared" si="1"/>
        <v>98.06</v>
      </c>
      <c r="K27" s="5"/>
      <c r="L27" s="3">
        <f t="shared" si="2"/>
        <v>0</v>
      </c>
      <c r="M27" s="17"/>
    </row>
    <row r="28" spans="2:13">
      <c r="B28" s="16">
        <v>21</v>
      </c>
      <c r="C28" s="3">
        <v>1.5</v>
      </c>
      <c r="D28" s="3" t="s">
        <v>149</v>
      </c>
      <c r="E28" s="3" t="s">
        <v>169</v>
      </c>
      <c r="F28" s="3">
        <v>42</v>
      </c>
      <c r="G28" s="3">
        <v>0.03</v>
      </c>
      <c r="H28" s="3">
        <v>0</v>
      </c>
      <c r="I28" s="3">
        <f t="shared" si="0"/>
        <v>42.03</v>
      </c>
      <c r="J28" s="3">
        <f t="shared" si="1"/>
        <v>42</v>
      </c>
      <c r="K28" s="5"/>
      <c r="L28" s="3">
        <f t="shared" si="2"/>
        <v>0</v>
      </c>
      <c r="M28" s="17"/>
    </row>
    <row r="29" spans="2:13">
      <c r="B29" s="16">
        <v>22</v>
      </c>
      <c r="C29" s="3">
        <v>1</v>
      </c>
      <c r="D29" s="3" t="s">
        <v>19</v>
      </c>
      <c r="E29" s="3" t="s">
        <v>168</v>
      </c>
      <c r="F29" s="3">
        <v>98</v>
      </c>
      <c r="G29" s="3">
        <v>-0.05</v>
      </c>
      <c r="H29" s="3">
        <v>-0.08</v>
      </c>
      <c r="I29" s="3">
        <f t="shared" si="0"/>
        <v>97.95</v>
      </c>
      <c r="J29" s="3">
        <f t="shared" si="1"/>
        <v>97.92</v>
      </c>
      <c r="K29" s="5"/>
      <c r="L29" s="3">
        <f t="shared" si="2"/>
        <v>0</v>
      </c>
      <c r="M29" s="17"/>
    </row>
    <row r="30" spans="2:13">
      <c r="B30" s="16">
        <v>23</v>
      </c>
      <c r="C30" s="3">
        <v>1</v>
      </c>
      <c r="D30" s="3" t="s">
        <v>150</v>
      </c>
      <c r="E30" s="3" t="s">
        <v>168</v>
      </c>
      <c r="F30" s="3">
        <v>88</v>
      </c>
      <c r="G30" s="3">
        <v>0.04</v>
      </c>
      <c r="H30" s="3">
        <v>0.01</v>
      </c>
      <c r="I30" s="3">
        <f t="shared" si="0"/>
        <v>88.04</v>
      </c>
      <c r="J30" s="3">
        <f t="shared" si="1"/>
        <v>88.01</v>
      </c>
      <c r="K30" s="5"/>
      <c r="L30" s="3">
        <f t="shared" si="2"/>
        <v>0</v>
      </c>
      <c r="M30" s="17"/>
    </row>
    <row r="31" spans="2:13">
      <c r="B31" s="16">
        <v>24</v>
      </c>
      <c r="C31" s="3"/>
      <c r="D31" s="3"/>
      <c r="E31" s="3"/>
      <c r="F31" s="3"/>
      <c r="G31" s="3"/>
      <c r="H31" s="3"/>
      <c r="I31" s="3">
        <f t="shared" ref="I31:I38" si="3">SUM(F31+G31)</f>
        <v>0</v>
      </c>
      <c r="J31" s="3">
        <f t="shared" ref="J31:J38" si="4">SUM(F31+H31)</f>
        <v>0</v>
      </c>
      <c r="K31" s="5"/>
      <c r="L31" s="3">
        <f t="shared" ref="L31:L38" si="5">IF(K31&gt;=(J31-M31),(IF(K31&lt;=(I31+M31),C31,0)),0)</f>
        <v>0</v>
      </c>
      <c r="M31" s="17"/>
    </row>
    <row r="32" spans="2:13">
      <c r="B32" s="16">
        <v>25</v>
      </c>
      <c r="C32" s="3"/>
      <c r="D32" s="3"/>
      <c r="E32" s="3"/>
      <c r="F32" s="3"/>
      <c r="G32" s="3"/>
      <c r="H32" s="3"/>
      <c r="I32" s="3">
        <f t="shared" si="3"/>
        <v>0</v>
      </c>
      <c r="J32" s="3">
        <f t="shared" si="4"/>
        <v>0</v>
      </c>
      <c r="K32" s="5"/>
      <c r="L32" s="3">
        <f t="shared" si="5"/>
        <v>0</v>
      </c>
      <c r="M32" s="17"/>
    </row>
    <row r="33" spans="2:13">
      <c r="B33" s="16">
        <v>26</v>
      </c>
      <c r="C33" s="3"/>
      <c r="D33" s="3"/>
      <c r="E33" s="3"/>
      <c r="F33" s="3"/>
      <c r="G33" s="3"/>
      <c r="H33" s="3"/>
      <c r="I33" s="3">
        <f t="shared" si="3"/>
        <v>0</v>
      </c>
      <c r="J33" s="3">
        <f t="shared" si="4"/>
        <v>0</v>
      </c>
      <c r="K33" s="5"/>
      <c r="L33" s="3">
        <f t="shared" si="5"/>
        <v>0</v>
      </c>
      <c r="M33" s="17"/>
    </row>
    <row r="34" spans="2:13">
      <c r="B34" s="16">
        <v>27</v>
      </c>
      <c r="C34" s="3"/>
      <c r="D34" s="3"/>
      <c r="E34" s="3"/>
      <c r="F34" s="3"/>
      <c r="G34" s="3"/>
      <c r="H34" s="3"/>
      <c r="I34" s="3">
        <f t="shared" si="3"/>
        <v>0</v>
      </c>
      <c r="J34" s="3">
        <f t="shared" si="4"/>
        <v>0</v>
      </c>
      <c r="K34" s="5"/>
      <c r="L34" s="3">
        <f t="shared" si="5"/>
        <v>0</v>
      </c>
      <c r="M34" s="17"/>
    </row>
    <row r="35" spans="2:13">
      <c r="B35" s="16">
        <v>28</v>
      </c>
      <c r="C35" s="3"/>
      <c r="D35" s="3"/>
      <c r="E35" s="3"/>
      <c r="F35" s="3"/>
      <c r="G35" s="3"/>
      <c r="H35" s="3"/>
      <c r="I35" s="3">
        <f t="shared" si="3"/>
        <v>0</v>
      </c>
      <c r="J35" s="3">
        <f t="shared" si="4"/>
        <v>0</v>
      </c>
      <c r="K35" s="5"/>
      <c r="L35" s="3">
        <f t="shared" si="5"/>
        <v>0</v>
      </c>
      <c r="M35" s="17"/>
    </row>
    <row r="36" spans="2:13">
      <c r="B36" s="16">
        <v>29</v>
      </c>
      <c r="C36" s="3"/>
      <c r="D36" s="3"/>
      <c r="E36" s="3"/>
      <c r="F36" s="3"/>
      <c r="G36" s="3"/>
      <c r="H36" s="3"/>
      <c r="I36" s="3">
        <f t="shared" si="3"/>
        <v>0</v>
      </c>
      <c r="J36" s="3">
        <f t="shared" si="4"/>
        <v>0</v>
      </c>
      <c r="K36" s="5"/>
      <c r="L36" s="3">
        <f t="shared" si="5"/>
        <v>0</v>
      </c>
      <c r="M36" s="17"/>
    </row>
    <row r="37" spans="2:13">
      <c r="B37" s="16">
        <v>30</v>
      </c>
      <c r="C37" s="3"/>
      <c r="D37" s="3"/>
      <c r="E37" s="3"/>
      <c r="F37" s="3"/>
      <c r="G37" s="3"/>
      <c r="H37" s="3"/>
      <c r="I37" s="3">
        <f t="shared" si="3"/>
        <v>0</v>
      </c>
      <c r="J37" s="3">
        <f t="shared" si="4"/>
        <v>0</v>
      </c>
      <c r="K37" s="5"/>
      <c r="L37" s="3">
        <f t="shared" si="5"/>
        <v>0</v>
      </c>
      <c r="M37" s="17"/>
    </row>
    <row r="38" spans="2:13">
      <c r="B38" s="16">
        <v>31</v>
      </c>
      <c r="C38" s="3"/>
      <c r="D38" s="3"/>
      <c r="E38" s="3"/>
      <c r="F38" s="3"/>
      <c r="G38" s="3"/>
      <c r="H38" s="3"/>
      <c r="I38" s="3">
        <f t="shared" si="3"/>
        <v>0</v>
      </c>
      <c r="J38" s="3">
        <f t="shared" si="4"/>
        <v>0</v>
      </c>
      <c r="K38" s="5"/>
      <c r="L38" s="3">
        <f t="shared" si="5"/>
        <v>0</v>
      </c>
      <c r="M38" s="17"/>
    </row>
    <row r="39" spans="2:13">
      <c r="B39" s="16">
        <v>32</v>
      </c>
      <c r="C39" s="3"/>
      <c r="D39" s="3"/>
      <c r="E39" s="3"/>
      <c r="F39" s="3"/>
      <c r="G39" s="3"/>
      <c r="H39" s="3"/>
      <c r="I39" s="3">
        <f>SUM(F39+G39)</f>
        <v>0</v>
      </c>
      <c r="J39" s="3">
        <f>SUM(F39+H39)</f>
        <v>0</v>
      </c>
      <c r="K39" s="5"/>
      <c r="L39" s="3">
        <f>IF(K39&gt;=(J39-M39),(IF(K39&lt;=(I39+M39),C39,0)),0)</f>
        <v>0</v>
      </c>
      <c r="M39" s="17"/>
    </row>
    <row r="40" spans="2:13" ht="14.25" thickBot="1">
      <c r="B40" s="26">
        <v>33</v>
      </c>
      <c r="C40" s="8"/>
      <c r="D40" s="8"/>
      <c r="E40" s="8"/>
      <c r="F40" s="8"/>
      <c r="G40" s="8"/>
      <c r="H40" s="8"/>
      <c r="I40" s="8">
        <f>SUM(F40+G40)</f>
        <v>0</v>
      </c>
      <c r="J40" s="8">
        <f>SUM(F40+H40)</f>
        <v>0</v>
      </c>
      <c r="K40" s="9"/>
      <c r="L40" s="8">
        <f>IF(K40&gt;=(J40-M40),(IF(K40&lt;=(I40+M40),C40,0)),0)</f>
        <v>0</v>
      </c>
      <c r="M40" s="31"/>
    </row>
    <row r="41" spans="2:13" ht="14.25" thickBot="1">
      <c r="B41" s="35" t="s">
        <v>49</v>
      </c>
      <c r="C41" s="36">
        <f>SUM(C8:C40)</f>
        <v>27</v>
      </c>
      <c r="D41" s="36"/>
      <c r="E41" s="36"/>
      <c r="F41" s="36"/>
      <c r="G41" s="36"/>
      <c r="H41" s="36"/>
      <c r="I41" s="36"/>
      <c r="J41" s="36"/>
      <c r="K41" s="37"/>
      <c r="L41" s="37">
        <f>SUM(L8:L40)</f>
        <v>1</v>
      </c>
      <c r="M41" s="38"/>
    </row>
    <row r="42" spans="2:13" ht="14.25" thickBot="1">
      <c r="B42" s="30"/>
      <c r="C42" s="11"/>
      <c r="D42" s="11"/>
      <c r="E42" s="11"/>
      <c r="F42" s="11"/>
      <c r="G42" s="11"/>
      <c r="H42" s="11"/>
      <c r="I42" s="11"/>
      <c r="J42" s="11"/>
      <c r="K42" s="29"/>
      <c r="L42" s="29"/>
      <c r="M42" s="11"/>
    </row>
    <row r="43" spans="2:13">
      <c r="B43" s="60" t="s">
        <v>30</v>
      </c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2"/>
    </row>
    <row r="44" spans="2:13">
      <c r="B44" s="16">
        <v>1</v>
      </c>
      <c r="C44" s="3">
        <v>1.2</v>
      </c>
      <c r="D44" s="3" t="s">
        <v>149</v>
      </c>
      <c r="E44" s="3" t="s">
        <v>11</v>
      </c>
      <c r="F44" s="3" t="s">
        <v>151</v>
      </c>
      <c r="G44" s="3"/>
      <c r="H44" s="3"/>
      <c r="I44" s="3" t="s">
        <v>44</v>
      </c>
      <c r="J44" s="3" t="s">
        <v>45</v>
      </c>
      <c r="K44" s="5"/>
      <c r="L44" s="3">
        <f>IF(K44=I44,(IF(K44&lt;&gt;J44,C44,0)),0)</f>
        <v>0</v>
      </c>
      <c r="M44" s="17"/>
    </row>
    <row r="45" spans="2:13">
      <c r="B45" s="16">
        <v>2</v>
      </c>
      <c r="C45" s="3">
        <v>0.8</v>
      </c>
      <c r="D45" s="3" t="s">
        <v>153</v>
      </c>
      <c r="E45" s="3" t="s">
        <v>11</v>
      </c>
      <c r="F45" s="3" t="s">
        <v>152</v>
      </c>
      <c r="G45" s="3"/>
      <c r="H45" s="3"/>
      <c r="I45" s="3" t="s">
        <v>44</v>
      </c>
      <c r="J45" s="3" t="s">
        <v>45</v>
      </c>
      <c r="K45" s="5"/>
      <c r="L45" s="3">
        <f>IF(K45=I45,(IF(K45&lt;&gt;J45,C45,0)),0)</f>
        <v>0</v>
      </c>
      <c r="M45" s="17"/>
    </row>
    <row r="46" spans="2:13">
      <c r="B46" s="16">
        <v>3</v>
      </c>
      <c r="C46" s="3">
        <v>0.5</v>
      </c>
      <c r="D46" s="3" t="s">
        <v>15</v>
      </c>
      <c r="E46" s="3" t="s">
        <v>23</v>
      </c>
      <c r="F46" s="3">
        <v>5</v>
      </c>
      <c r="G46" s="3">
        <v>0.1</v>
      </c>
      <c r="H46" s="3">
        <v>-0.1</v>
      </c>
      <c r="I46" s="3">
        <f t="shared" ref="I46:I61" si="6">SUM(F46+G46)</f>
        <v>5.0999999999999996</v>
      </c>
      <c r="J46" s="3">
        <f t="shared" ref="J46:J61" si="7">SUM(F46+H46)</f>
        <v>4.9000000000000004</v>
      </c>
      <c r="K46" s="5"/>
      <c r="L46" s="3">
        <f t="shared" ref="L46:L63" si="8">IF(K46&gt;=(J46-M46),(IF(K46&lt;=(I46+M46),C46,0)),0)</f>
        <v>0</v>
      </c>
      <c r="M46" s="17"/>
    </row>
    <row r="47" spans="2:13">
      <c r="B47" s="16">
        <v>4</v>
      </c>
      <c r="C47" s="3">
        <v>0.5</v>
      </c>
      <c r="D47" s="3" t="s">
        <v>154</v>
      </c>
      <c r="E47" s="3" t="s">
        <v>23</v>
      </c>
      <c r="F47" s="3">
        <v>5</v>
      </c>
      <c r="G47" s="3">
        <v>0.1</v>
      </c>
      <c r="H47" s="3">
        <v>-0.1</v>
      </c>
      <c r="I47" s="3">
        <f t="shared" si="6"/>
        <v>5.0999999999999996</v>
      </c>
      <c r="J47" s="3">
        <f t="shared" si="7"/>
        <v>4.9000000000000004</v>
      </c>
      <c r="K47" s="5"/>
      <c r="L47" s="3">
        <f t="shared" si="8"/>
        <v>0</v>
      </c>
      <c r="M47" s="17"/>
    </row>
    <row r="48" spans="2:13">
      <c r="B48" s="16">
        <v>5</v>
      </c>
      <c r="C48" s="3">
        <v>0.5</v>
      </c>
      <c r="D48" s="3" t="s">
        <v>155</v>
      </c>
      <c r="E48" s="3" t="s">
        <v>23</v>
      </c>
      <c r="F48" s="3">
        <v>48</v>
      </c>
      <c r="G48" s="3">
        <v>0.1</v>
      </c>
      <c r="H48" s="3">
        <v>-0.1</v>
      </c>
      <c r="I48" s="3">
        <f t="shared" si="6"/>
        <v>48.1</v>
      </c>
      <c r="J48" s="3">
        <f t="shared" si="7"/>
        <v>47.9</v>
      </c>
      <c r="K48" s="5"/>
      <c r="L48" s="3">
        <f t="shared" si="8"/>
        <v>0</v>
      </c>
      <c r="M48" s="17"/>
    </row>
    <row r="49" spans="2:13">
      <c r="B49" s="16">
        <v>6</v>
      </c>
      <c r="C49" s="3">
        <v>0.5</v>
      </c>
      <c r="D49" s="3" t="s">
        <v>156</v>
      </c>
      <c r="E49" s="3" t="s">
        <v>23</v>
      </c>
      <c r="F49" s="3">
        <v>15</v>
      </c>
      <c r="G49" s="3">
        <v>0.1</v>
      </c>
      <c r="H49" s="3">
        <v>-0.1</v>
      </c>
      <c r="I49" s="3">
        <f t="shared" si="6"/>
        <v>15.1</v>
      </c>
      <c r="J49" s="3">
        <f t="shared" si="7"/>
        <v>14.9</v>
      </c>
      <c r="K49" s="5"/>
      <c r="L49" s="3">
        <f t="shared" si="8"/>
        <v>0</v>
      </c>
      <c r="M49" s="17"/>
    </row>
    <row r="50" spans="2:13">
      <c r="B50" s="16">
        <v>7</v>
      </c>
      <c r="C50" s="3">
        <v>0.5</v>
      </c>
      <c r="D50" s="3" t="s">
        <v>157</v>
      </c>
      <c r="E50" s="3" t="s">
        <v>169</v>
      </c>
      <c r="F50" s="3">
        <v>20</v>
      </c>
      <c r="G50" s="3">
        <v>0.1</v>
      </c>
      <c r="H50" s="3">
        <v>-0.1</v>
      </c>
      <c r="I50" s="3">
        <f t="shared" si="6"/>
        <v>20.100000000000001</v>
      </c>
      <c r="J50" s="3">
        <f t="shared" si="7"/>
        <v>19.899999999999999</v>
      </c>
      <c r="K50" s="5"/>
      <c r="L50" s="3">
        <f t="shared" si="8"/>
        <v>0</v>
      </c>
      <c r="M50" s="17"/>
    </row>
    <row r="51" spans="2:13">
      <c r="B51" s="16">
        <v>8</v>
      </c>
      <c r="C51" s="3">
        <v>0.5</v>
      </c>
      <c r="D51" s="3" t="s">
        <v>18</v>
      </c>
      <c r="E51" s="3" t="s">
        <v>168</v>
      </c>
      <c r="F51" s="3">
        <v>60</v>
      </c>
      <c r="G51" s="3">
        <v>0.1</v>
      </c>
      <c r="H51" s="3">
        <v>-0.1</v>
      </c>
      <c r="I51" s="3">
        <f t="shared" si="6"/>
        <v>60.1</v>
      </c>
      <c r="J51" s="3">
        <f t="shared" si="7"/>
        <v>59.9</v>
      </c>
      <c r="K51" s="5"/>
      <c r="L51" s="3">
        <f t="shared" si="8"/>
        <v>0</v>
      </c>
      <c r="M51" s="17"/>
    </row>
    <row r="52" spans="2:13">
      <c r="B52" s="16">
        <v>9</v>
      </c>
      <c r="C52" s="3">
        <v>0.5</v>
      </c>
      <c r="D52" s="3" t="s">
        <v>150</v>
      </c>
      <c r="E52" s="3" t="s">
        <v>168</v>
      </c>
      <c r="F52" s="3">
        <v>78</v>
      </c>
      <c r="G52" s="3">
        <v>0.1</v>
      </c>
      <c r="H52" s="3">
        <v>-0.1</v>
      </c>
      <c r="I52" s="3">
        <f t="shared" si="6"/>
        <v>78.099999999999994</v>
      </c>
      <c r="J52" s="3">
        <f t="shared" si="7"/>
        <v>77.900000000000006</v>
      </c>
      <c r="K52" s="5"/>
      <c r="L52" s="3">
        <f t="shared" si="8"/>
        <v>0</v>
      </c>
      <c r="M52" s="17"/>
    </row>
    <row r="53" spans="2:13">
      <c r="B53" s="16">
        <v>10</v>
      </c>
      <c r="C53" s="3">
        <v>0.5</v>
      </c>
      <c r="D53" s="3" t="s">
        <v>158</v>
      </c>
      <c r="E53" s="3" t="s">
        <v>168</v>
      </c>
      <c r="F53" s="3">
        <v>88</v>
      </c>
      <c r="G53" s="3">
        <v>0.1</v>
      </c>
      <c r="H53" s="3">
        <v>-0.1</v>
      </c>
      <c r="I53" s="3">
        <f t="shared" si="6"/>
        <v>88.1</v>
      </c>
      <c r="J53" s="3">
        <f t="shared" si="7"/>
        <v>87.9</v>
      </c>
      <c r="K53" s="5"/>
      <c r="L53" s="3">
        <f t="shared" si="8"/>
        <v>0</v>
      </c>
      <c r="M53" s="17"/>
    </row>
    <row r="54" spans="2:13">
      <c r="B54" s="16">
        <v>11</v>
      </c>
      <c r="C54" s="3">
        <v>0.5</v>
      </c>
      <c r="D54" s="3" t="s">
        <v>158</v>
      </c>
      <c r="E54" s="3" t="s">
        <v>168</v>
      </c>
      <c r="F54" s="3">
        <v>39</v>
      </c>
      <c r="G54" s="3">
        <v>0.1</v>
      </c>
      <c r="H54" s="3">
        <v>-0.1</v>
      </c>
      <c r="I54" s="3">
        <f t="shared" si="6"/>
        <v>39.1</v>
      </c>
      <c r="J54" s="3">
        <f t="shared" si="7"/>
        <v>38.9</v>
      </c>
      <c r="K54" s="5"/>
      <c r="L54" s="3">
        <f t="shared" si="8"/>
        <v>0</v>
      </c>
      <c r="M54" s="17"/>
    </row>
    <row r="55" spans="2:13">
      <c r="B55" s="16">
        <v>12</v>
      </c>
      <c r="C55" s="3">
        <v>0.5</v>
      </c>
      <c r="D55" s="3" t="s">
        <v>159</v>
      </c>
      <c r="E55" s="3" t="s">
        <v>168</v>
      </c>
      <c r="F55" s="3">
        <v>31</v>
      </c>
      <c r="G55" s="3">
        <v>0.1</v>
      </c>
      <c r="H55" s="3">
        <v>-0.1</v>
      </c>
      <c r="I55" s="3">
        <f t="shared" si="6"/>
        <v>31.1</v>
      </c>
      <c r="J55" s="3">
        <f t="shared" si="7"/>
        <v>30.9</v>
      </c>
      <c r="K55" s="5"/>
      <c r="L55" s="3">
        <f t="shared" si="8"/>
        <v>0</v>
      </c>
      <c r="M55" s="17"/>
    </row>
    <row r="56" spans="2:13">
      <c r="B56" s="16">
        <v>13</v>
      </c>
      <c r="C56" s="3">
        <v>0.5</v>
      </c>
      <c r="D56" s="3" t="s">
        <v>148</v>
      </c>
      <c r="E56" s="3" t="s">
        <v>168</v>
      </c>
      <c r="F56" s="3">
        <v>12</v>
      </c>
      <c r="G56" s="3">
        <v>0.1</v>
      </c>
      <c r="H56" s="3">
        <v>-0.1</v>
      </c>
      <c r="I56" s="3">
        <f t="shared" si="6"/>
        <v>12.1</v>
      </c>
      <c r="J56" s="3">
        <f t="shared" si="7"/>
        <v>11.9</v>
      </c>
      <c r="K56" s="5"/>
      <c r="L56" s="3">
        <f t="shared" si="8"/>
        <v>0</v>
      </c>
      <c r="M56" s="17"/>
    </row>
    <row r="57" spans="2:13">
      <c r="B57" s="16">
        <v>14</v>
      </c>
      <c r="C57" s="3">
        <v>0.5</v>
      </c>
      <c r="D57" s="3" t="s">
        <v>148</v>
      </c>
      <c r="E57" s="3" t="s">
        <v>168</v>
      </c>
      <c r="F57" s="3">
        <v>21</v>
      </c>
      <c r="G57" s="3">
        <v>0.1</v>
      </c>
      <c r="H57" s="3">
        <v>-0.1</v>
      </c>
      <c r="I57" s="3">
        <f t="shared" si="6"/>
        <v>21.1</v>
      </c>
      <c r="J57" s="3">
        <f t="shared" si="7"/>
        <v>20.9</v>
      </c>
      <c r="K57" s="5"/>
      <c r="L57" s="3">
        <f t="shared" si="8"/>
        <v>0</v>
      </c>
      <c r="M57" s="17"/>
    </row>
    <row r="58" spans="2:13">
      <c r="B58" s="16">
        <v>15</v>
      </c>
      <c r="C58" s="3">
        <v>0.5</v>
      </c>
      <c r="D58" s="3" t="s">
        <v>148</v>
      </c>
      <c r="E58" s="3" t="s">
        <v>169</v>
      </c>
      <c r="F58" s="3">
        <v>20</v>
      </c>
      <c r="G58" s="3">
        <v>0.1</v>
      </c>
      <c r="H58" s="3">
        <v>-0.1</v>
      </c>
      <c r="I58" s="3">
        <f t="shared" si="6"/>
        <v>20.100000000000001</v>
      </c>
      <c r="J58" s="3">
        <f t="shared" si="7"/>
        <v>19.899999999999999</v>
      </c>
      <c r="K58" s="5"/>
      <c r="L58" s="3">
        <f t="shared" si="8"/>
        <v>0</v>
      </c>
      <c r="M58" s="17"/>
    </row>
    <row r="59" spans="2:13">
      <c r="B59" s="16">
        <v>16</v>
      </c>
      <c r="C59" s="3">
        <v>0.5</v>
      </c>
      <c r="D59" s="3" t="s">
        <v>148</v>
      </c>
      <c r="E59" s="3" t="s">
        <v>168</v>
      </c>
      <c r="F59" s="3">
        <v>25</v>
      </c>
      <c r="G59" s="3">
        <v>0.1</v>
      </c>
      <c r="H59" s="3">
        <v>-0.1</v>
      </c>
      <c r="I59" s="3">
        <f t="shared" si="6"/>
        <v>25.1</v>
      </c>
      <c r="J59" s="3">
        <f t="shared" si="7"/>
        <v>24.9</v>
      </c>
      <c r="K59" s="5"/>
      <c r="L59" s="3">
        <f t="shared" si="8"/>
        <v>0</v>
      </c>
      <c r="M59" s="17"/>
    </row>
    <row r="60" spans="2:13">
      <c r="B60" s="16">
        <v>17</v>
      </c>
      <c r="C60" s="3">
        <v>0.5</v>
      </c>
      <c r="D60" s="3" t="s">
        <v>147</v>
      </c>
      <c r="E60" s="3" t="s">
        <v>168</v>
      </c>
      <c r="F60" s="3">
        <v>5</v>
      </c>
      <c r="G60" s="3">
        <v>0.1</v>
      </c>
      <c r="H60" s="3">
        <v>-0.1</v>
      </c>
      <c r="I60" s="3">
        <f t="shared" si="6"/>
        <v>5.0999999999999996</v>
      </c>
      <c r="J60" s="3">
        <f t="shared" si="7"/>
        <v>4.9000000000000004</v>
      </c>
      <c r="K60" s="5"/>
      <c r="L60" s="3">
        <f t="shared" si="8"/>
        <v>0</v>
      </c>
      <c r="M60" s="17"/>
    </row>
    <row r="61" spans="2:13">
      <c r="B61" s="16">
        <v>18</v>
      </c>
      <c r="C61" s="3">
        <v>0.5</v>
      </c>
      <c r="D61" s="3" t="s">
        <v>21</v>
      </c>
      <c r="E61" s="3" t="s">
        <v>168</v>
      </c>
      <c r="F61" s="3">
        <v>16</v>
      </c>
      <c r="G61" s="3">
        <v>0.1</v>
      </c>
      <c r="H61" s="3">
        <v>-0.1</v>
      </c>
      <c r="I61" s="3">
        <f t="shared" si="6"/>
        <v>16.100000000000001</v>
      </c>
      <c r="J61" s="3">
        <f t="shared" si="7"/>
        <v>15.9</v>
      </c>
      <c r="K61" s="5"/>
      <c r="L61" s="3">
        <f t="shared" si="8"/>
        <v>0</v>
      </c>
      <c r="M61" s="17"/>
    </row>
    <row r="62" spans="2:13">
      <c r="B62" s="16">
        <v>19</v>
      </c>
      <c r="C62" s="3">
        <v>0.5</v>
      </c>
      <c r="D62" s="3" t="s">
        <v>164</v>
      </c>
      <c r="E62" s="3" t="s">
        <v>169</v>
      </c>
      <c r="F62" s="3">
        <v>8</v>
      </c>
      <c r="G62" s="3">
        <v>0.1</v>
      </c>
      <c r="H62" s="3">
        <v>-0.1</v>
      </c>
      <c r="I62" s="3">
        <f>SUM(F62+G62)</f>
        <v>8.1</v>
      </c>
      <c r="J62" s="3">
        <f>SUM(F62+H62)</f>
        <v>7.9</v>
      </c>
      <c r="K62" s="5"/>
      <c r="L62" s="3">
        <f t="shared" si="8"/>
        <v>0</v>
      </c>
      <c r="M62" s="17"/>
    </row>
    <row r="63" spans="2:13">
      <c r="B63" s="16"/>
      <c r="C63" s="3"/>
      <c r="D63" s="3"/>
      <c r="E63" s="3"/>
      <c r="F63" s="3"/>
      <c r="G63" s="3"/>
      <c r="H63" s="3"/>
      <c r="I63" s="3"/>
      <c r="J63" s="3"/>
      <c r="K63" s="5"/>
      <c r="L63" s="3">
        <f t="shared" si="8"/>
        <v>0</v>
      </c>
      <c r="M63" s="17"/>
    </row>
    <row r="64" spans="2:13">
      <c r="B64" s="16">
        <v>21</v>
      </c>
      <c r="C64" s="3"/>
      <c r="D64" s="3"/>
      <c r="E64" s="3"/>
      <c r="F64" s="3"/>
      <c r="G64" s="3"/>
      <c r="H64" s="3"/>
      <c r="I64" s="3">
        <f>SUM(F64+G64)</f>
        <v>0</v>
      </c>
      <c r="J64" s="3">
        <f>SUM(F64+H64)</f>
        <v>0</v>
      </c>
      <c r="K64" s="5"/>
      <c r="L64" s="3">
        <f>IF(K64&gt;=(J64-M64),(IF(K64&lt;=(I64+M64),C64,0)),0)</f>
        <v>0</v>
      </c>
      <c r="M64" s="17"/>
    </row>
    <row r="65" spans="2:13">
      <c r="B65" s="16">
        <v>22</v>
      </c>
      <c r="C65" s="3"/>
      <c r="D65" s="3"/>
      <c r="E65" s="3"/>
      <c r="F65" s="3"/>
      <c r="G65" s="3"/>
      <c r="H65" s="3"/>
      <c r="I65" s="3">
        <f>SUM(F65+G65)</f>
        <v>0</v>
      </c>
      <c r="J65" s="3">
        <f>SUM(F65+H65)</f>
        <v>0</v>
      </c>
      <c r="K65" s="5"/>
      <c r="L65" s="3">
        <f>IF(K65&gt;=(J65-M65),(IF(K65&lt;=(I65+M65),C65,0)),0)</f>
        <v>0</v>
      </c>
      <c r="M65" s="17"/>
    </row>
    <row r="66" spans="2:13" ht="14.25" thickBot="1">
      <c r="B66" s="26">
        <v>23</v>
      </c>
      <c r="C66" s="8"/>
      <c r="D66" s="8"/>
      <c r="E66" s="8"/>
      <c r="F66" s="8"/>
      <c r="G66" s="8"/>
      <c r="H66" s="8"/>
      <c r="I66" s="8">
        <f>SUM(F66+G66)</f>
        <v>0</v>
      </c>
      <c r="J66" s="8">
        <f>SUM(F66+H66)</f>
        <v>0</v>
      </c>
      <c r="K66" s="9"/>
      <c r="L66" s="8">
        <f>IF(K66&gt;=(J66-M66),(IF(K66&lt;=(I66+M66),C66,0)),0)</f>
        <v>0</v>
      </c>
      <c r="M66" s="31"/>
    </row>
    <row r="67" spans="2:13" ht="14.25" thickBot="1">
      <c r="B67" s="35" t="s">
        <v>49</v>
      </c>
      <c r="C67" s="36">
        <f>SUM(C44:C66)</f>
        <v>10.5</v>
      </c>
      <c r="D67" s="36"/>
      <c r="E67" s="36"/>
      <c r="F67" s="36"/>
      <c r="G67" s="36"/>
      <c r="H67" s="36"/>
      <c r="I67" s="36"/>
      <c r="J67" s="36"/>
      <c r="K67" s="37"/>
      <c r="L67" s="36">
        <f>SUM(L44:L66)</f>
        <v>0</v>
      </c>
      <c r="M67" s="38"/>
    </row>
    <row r="68" spans="2:13" ht="14.25" thickBot="1">
      <c r="B68" s="30"/>
      <c r="C68" s="11"/>
      <c r="D68" s="11"/>
      <c r="E68" s="11"/>
      <c r="F68" s="11"/>
      <c r="G68" s="11"/>
      <c r="H68" s="11"/>
      <c r="I68" s="11"/>
      <c r="J68" s="11"/>
      <c r="K68" s="29"/>
      <c r="L68" s="11"/>
      <c r="M68" s="11"/>
    </row>
    <row r="69" spans="2:13">
      <c r="B69" s="23" t="s">
        <v>31</v>
      </c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2"/>
    </row>
    <row r="70" spans="2:13">
      <c r="B70" s="16">
        <v>1</v>
      </c>
      <c r="C70" s="3">
        <v>0.8</v>
      </c>
      <c r="D70" s="3" t="s">
        <v>15</v>
      </c>
      <c r="E70" s="3" t="s">
        <v>12</v>
      </c>
      <c r="F70" s="3" t="s">
        <v>22</v>
      </c>
      <c r="G70" s="3">
        <v>0.8</v>
      </c>
      <c r="H70" s="6">
        <v>1E-8</v>
      </c>
      <c r="I70" s="3">
        <f t="shared" ref="I70:I75" si="9">SUM(G70)</f>
        <v>0.8</v>
      </c>
      <c r="J70" s="6">
        <f t="shared" ref="J70:J75" si="10">SUM(H70)</f>
        <v>1E-8</v>
      </c>
      <c r="K70" s="5"/>
      <c r="L70" s="3">
        <f t="shared" ref="L70:L77" si="11">IF(K70&gt;=(J70-M70),(IF(K70&lt;=(I70+M70),C70,0)),0)</f>
        <v>0</v>
      </c>
      <c r="M70" s="17"/>
    </row>
    <row r="71" spans="2:13">
      <c r="B71" s="16">
        <v>2</v>
      </c>
      <c r="C71" s="3">
        <v>0.8</v>
      </c>
      <c r="D71" s="3" t="s">
        <v>160</v>
      </c>
      <c r="E71" s="3" t="s">
        <v>12</v>
      </c>
      <c r="F71" s="3" t="s">
        <v>22</v>
      </c>
      <c r="G71" s="3">
        <v>0.8</v>
      </c>
      <c r="H71" s="6">
        <v>1E-8</v>
      </c>
      <c r="I71" s="3">
        <f t="shared" si="9"/>
        <v>0.8</v>
      </c>
      <c r="J71" s="6">
        <f t="shared" si="10"/>
        <v>1E-8</v>
      </c>
      <c r="K71" s="5"/>
      <c r="L71" s="3">
        <f t="shared" si="11"/>
        <v>0</v>
      </c>
      <c r="M71" s="17"/>
    </row>
    <row r="72" spans="2:13">
      <c r="B72" s="16">
        <v>3</v>
      </c>
      <c r="C72" s="3">
        <v>0.7</v>
      </c>
      <c r="D72" s="3" t="s">
        <v>20</v>
      </c>
      <c r="E72" s="3" t="s">
        <v>12</v>
      </c>
      <c r="F72" s="3" t="s">
        <v>22</v>
      </c>
      <c r="G72" s="3">
        <v>0.8</v>
      </c>
      <c r="H72" s="6">
        <v>1E-8</v>
      </c>
      <c r="I72" s="3">
        <f t="shared" si="9"/>
        <v>0.8</v>
      </c>
      <c r="J72" s="6">
        <f t="shared" si="10"/>
        <v>1E-8</v>
      </c>
      <c r="K72" s="5"/>
      <c r="L72" s="3">
        <f t="shared" si="11"/>
        <v>0</v>
      </c>
      <c r="M72" s="17"/>
    </row>
    <row r="73" spans="2:13">
      <c r="B73" s="16">
        <v>4</v>
      </c>
      <c r="C73" s="3">
        <v>0.8</v>
      </c>
      <c r="D73" s="3" t="s">
        <v>161</v>
      </c>
      <c r="E73" s="3" t="s">
        <v>12</v>
      </c>
      <c r="F73" s="3" t="s">
        <v>22</v>
      </c>
      <c r="G73" s="3">
        <v>0.8</v>
      </c>
      <c r="H73" s="6">
        <v>1E-8</v>
      </c>
      <c r="I73" s="3">
        <f t="shared" si="9"/>
        <v>0.8</v>
      </c>
      <c r="J73" s="6">
        <f t="shared" si="10"/>
        <v>1E-8</v>
      </c>
      <c r="K73" s="5"/>
      <c r="L73" s="3">
        <f t="shared" si="11"/>
        <v>0</v>
      </c>
      <c r="M73" s="17"/>
    </row>
    <row r="74" spans="2:13">
      <c r="B74" s="16">
        <v>5</v>
      </c>
      <c r="C74" s="3">
        <v>0.7</v>
      </c>
      <c r="D74" s="3" t="s">
        <v>162</v>
      </c>
      <c r="E74" s="3" t="s">
        <v>12</v>
      </c>
      <c r="F74" s="3" t="s">
        <v>22</v>
      </c>
      <c r="G74" s="3">
        <v>0.8</v>
      </c>
      <c r="H74" s="6">
        <v>1E-8</v>
      </c>
      <c r="I74" s="3">
        <f t="shared" si="9"/>
        <v>0.8</v>
      </c>
      <c r="J74" s="6">
        <f t="shared" si="10"/>
        <v>1E-8</v>
      </c>
      <c r="K74" s="5"/>
      <c r="L74" s="3">
        <f t="shared" si="11"/>
        <v>0</v>
      </c>
      <c r="M74" s="17"/>
    </row>
    <row r="75" spans="2:13">
      <c r="B75" s="16">
        <v>6</v>
      </c>
      <c r="C75" s="3">
        <v>0.7</v>
      </c>
      <c r="D75" s="3" t="s">
        <v>163</v>
      </c>
      <c r="E75" s="3" t="s">
        <v>12</v>
      </c>
      <c r="F75" s="3" t="s">
        <v>22</v>
      </c>
      <c r="G75" s="3">
        <v>0.8</v>
      </c>
      <c r="H75" s="6">
        <v>1E-8</v>
      </c>
      <c r="I75" s="3">
        <f t="shared" si="9"/>
        <v>0.8</v>
      </c>
      <c r="J75" s="6">
        <f t="shared" si="10"/>
        <v>1E-8</v>
      </c>
      <c r="K75" s="5"/>
      <c r="L75" s="3">
        <f t="shared" si="11"/>
        <v>0</v>
      </c>
      <c r="M75" s="17"/>
    </row>
    <row r="76" spans="2:13">
      <c r="B76" s="16"/>
      <c r="C76" s="3"/>
      <c r="D76" s="3"/>
      <c r="E76" s="3"/>
      <c r="F76" s="3"/>
      <c r="G76" s="3"/>
      <c r="H76" s="6"/>
      <c r="I76" s="3"/>
      <c r="J76" s="6"/>
      <c r="K76" s="5"/>
      <c r="L76" s="3">
        <f t="shared" si="11"/>
        <v>0</v>
      </c>
      <c r="M76" s="17"/>
    </row>
    <row r="77" spans="2:13" ht="14.25" thickBot="1">
      <c r="B77" s="26"/>
      <c r="C77" s="8"/>
      <c r="D77" s="8"/>
      <c r="E77" s="8"/>
      <c r="F77" s="8"/>
      <c r="G77" s="8"/>
      <c r="H77" s="8"/>
      <c r="I77" s="8"/>
      <c r="J77" s="8"/>
      <c r="K77" s="9"/>
      <c r="L77" s="8">
        <f t="shared" si="11"/>
        <v>0</v>
      </c>
      <c r="M77" s="31"/>
    </row>
    <row r="78" spans="2:13" ht="14.25" thickBot="1">
      <c r="B78" s="35" t="s">
        <v>50</v>
      </c>
      <c r="C78" s="36">
        <f>SUM(C70:C77)</f>
        <v>4.5</v>
      </c>
      <c r="D78" s="36"/>
      <c r="E78" s="36"/>
      <c r="F78" s="36"/>
      <c r="G78" s="36"/>
      <c r="H78" s="36"/>
      <c r="I78" s="36"/>
      <c r="J78" s="36"/>
      <c r="K78" s="37"/>
      <c r="L78" s="36">
        <f>SUM(L70:L77)</f>
        <v>0</v>
      </c>
      <c r="M78" s="38"/>
    </row>
    <row r="79" spans="2:13" ht="14.25" thickBot="1">
      <c r="B79" s="30"/>
      <c r="C79" s="11"/>
      <c r="D79" s="11"/>
      <c r="E79" s="11"/>
      <c r="F79" s="11"/>
      <c r="G79" s="11"/>
      <c r="H79" s="11"/>
      <c r="I79" s="11"/>
      <c r="J79" s="11"/>
      <c r="K79" s="29"/>
      <c r="L79" s="11"/>
      <c r="M79" s="11"/>
    </row>
    <row r="80" spans="2:13">
      <c r="B80" s="60" t="s">
        <v>32</v>
      </c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2"/>
    </row>
    <row r="81" spans="2:23">
      <c r="B81" s="16"/>
      <c r="C81" s="3"/>
      <c r="D81" s="3"/>
      <c r="E81" s="3"/>
      <c r="F81" s="3"/>
      <c r="G81" s="3">
        <v>1</v>
      </c>
      <c r="H81" s="3">
        <v>2</v>
      </c>
      <c r="I81" s="3">
        <v>3</v>
      </c>
      <c r="J81" s="3">
        <v>4</v>
      </c>
      <c r="K81" s="3">
        <v>5</v>
      </c>
      <c r="L81" s="3"/>
      <c r="M81" s="17"/>
    </row>
    <row r="82" spans="2:23">
      <c r="B82" s="16">
        <v>1</v>
      </c>
      <c r="C82" s="3">
        <v>2</v>
      </c>
      <c r="D82" s="96" t="s">
        <v>24</v>
      </c>
      <c r="E82" s="97"/>
      <c r="F82" s="98"/>
      <c r="G82" s="5"/>
      <c r="H82" s="5"/>
      <c r="I82" s="5"/>
      <c r="J82" s="5"/>
      <c r="K82" s="5"/>
      <c r="L82" s="3">
        <f t="shared" ref="L82:L87" si="12">SUM(C82*(W82-V82-U82)/30)</f>
        <v>0</v>
      </c>
      <c r="M82" s="17"/>
      <c r="O82">
        <f t="shared" ref="O82:S87" si="13">SUM(10-G82)</f>
        <v>10</v>
      </c>
      <c r="P82">
        <f t="shared" si="13"/>
        <v>10</v>
      </c>
      <c r="Q82">
        <f t="shared" si="13"/>
        <v>10</v>
      </c>
      <c r="R82">
        <f t="shared" si="13"/>
        <v>10</v>
      </c>
      <c r="S82">
        <f t="shared" si="13"/>
        <v>10</v>
      </c>
      <c r="T82">
        <f t="shared" ref="T82:T87" si="14">MAX(O82:S82)</f>
        <v>10</v>
      </c>
      <c r="U82">
        <f t="shared" ref="U82:U87" si="15">SUM(10-T82)</f>
        <v>0</v>
      </c>
      <c r="V82">
        <f t="shared" ref="V82:V87" si="16">MAX(G82:K82)</f>
        <v>0</v>
      </c>
      <c r="W82">
        <f t="shared" ref="W82:W87" si="17">SUM(G82:K82)</f>
        <v>0</v>
      </c>
    </row>
    <row r="83" spans="2:23">
      <c r="B83" s="16">
        <v>2</v>
      </c>
      <c r="C83" s="3">
        <v>1</v>
      </c>
      <c r="D83" s="96" t="s">
        <v>25</v>
      </c>
      <c r="E83" s="97"/>
      <c r="F83" s="98"/>
      <c r="G83" s="5"/>
      <c r="H83" s="5"/>
      <c r="I83" s="5"/>
      <c r="J83" s="5"/>
      <c r="K83" s="5"/>
      <c r="L83" s="3">
        <f t="shared" si="12"/>
        <v>0</v>
      </c>
      <c r="M83" s="17"/>
      <c r="O83">
        <f t="shared" si="13"/>
        <v>10</v>
      </c>
      <c r="P83">
        <f t="shared" si="13"/>
        <v>10</v>
      </c>
      <c r="Q83">
        <f t="shared" si="13"/>
        <v>10</v>
      </c>
      <c r="R83">
        <f t="shared" si="13"/>
        <v>10</v>
      </c>
      <c r="S83">
        <f t="shared" si="13"/>
        <v>10</v>
      </c>
      <c r="T83">
        <f t="shared" si="14"/>
        <v>10</v>
      </c>
      <c r="U83">
        <f t="shared" si="15"/>
        <v>0</v>
      </c>
      <c r="V83">
        <f t="shared" si="16"/>
        <v>0</v>
      </c>
      <c r="W83">
        <f t="shared" si="17"/>
        <v>0</v>
      </c>
    </row>
    <row r="84" spans="2:23">
      <c r="B84" s="16">
        <v>3</v>
      </c>
      <c r="C84" s="3">
        <v>1</v>
      </c>
      <c r="D84" s="96" t="s">
        <v>26</v>
      </c>
      <c r="E84" s="97"/>
      <c r="F84" s="98"/>
      <c r="G84" s="5"/>
      <c r="H84" s="5"/>
      <c r="I84" s="5"/>
      <c r="J84" s="5"/>
      <c r="K84" s="5"/>
      <c r="L84" s="3">
        <f t="shared" si="12"/>
        <v>0</v>
      </c>
      <c r="M84" s="17"/>
      <c r="O84">
        <f t="shared" si="13"/>
        <v>10</v>
      </c>
      <c r="P84">
        <f t="shared" si="13"/>
        <v>10</v>
      </c>
      <c r="Q84">
        <f t="shared" si="13"/>
        <v>10</v>
      </c>
      <c r="R84">
        <f t="shared" si="13"/>
        <v>10</v>
      </c>
      <c r="S84">
        <f t="shared" si="13"/>
        <v>10</v>
      </c>
      <c r="T84">
        <f t="shared" si="14"/>
        <v>10</v>
      </c>
      <c r="U84">
        <f t="shared" si="15"/>
        <v>0</v>
      </c>
      <c r="V84">
        <f t="shared" si="16"/>
        <v>0</v>
      </c>
      <c r="W84">
        <f t="shared" si="17"/>
        <v>0</v>
      </c>
    </row>
    <row r="85" spans="2:23">
      <c r="B85" s="16">
        <v>4</v>
      </c>
      <c r="C85" s="3">
        <v>2</v>
      </c>
      <c r="D85" s="96" t="s">
        <v>27</v>
      </c>
      <c r="E85" s="97"/>
      <c r="F85" s="98"/>
      <c r="G85" s="5"/>
      <c r="H85" s="5"/>
      <c r="I85" s="5"/>
      <c r="J85" s="5"/>
      <c r="K85" s="5"/>
      <c r="L85" s="3">
        <f t="shared" si="12"/>
        <v>0</v>
      </c>
      <c r="M85" s="17"/>
      <c r="O85">
        <f t="shared" si="13"/>
        <v>10</v>
      </c>
      <c r="P85">
        <f t="shared" si="13"/>
        <v>10</v>
      </c>
      <c r="Q85">
        <f t="shared" si="13"/>
        <v>10</v>
      </c>
      <c r="R85">
        <f t="shared" si="13"/>
        <v>10</v>
      </c>
      <c r="S85">
        <f t="shared" si="13"/>
        <v>10</v>
      </c>
      <c r="T85">
        <f t="shared" si="14"/>
        <v>10</v>
      </c>
      <c r="U85">
        <f t="shared" si="15"/>
        <v>0</v>
      </c>
      <c r="V85">
        <f t="shared" si="16"/>
        <v>0</v>
      </c>
      <c r="W85">
        <f t="shared" si="17"/>
        <v>0</v>
      </c>
    </row>
    <row r="86" spans="2:23">
      <c r="B86" s="22">
        <v>5</v>
      </c>
      <c r="C86" s="3">
        <v>2</v>
      </c>
      <c r="D86" s="96" t="s">
        <v>28</v>
      </c>
      <c r="E86" s="124"/>
      <c r="F86" s="125"/>
      <c r="G86" s="5"/>
      <c r="H86" s="5"/>
      <c r="I86" s="5"/>
      <c r="J86" s="5"/>
      <c r="K86" s="5"/>
      <c r="L86" s="3">
        <f t="shared" si="12"/>
        <v>0</v>
      </c>
      <c r="M86" s="17"/>
      <c r="O86">
        <f t="shared" si="13"/>
        <v>10</v>
      </c>
      <c r="P86">
        <f t="shared" si="13"/>
        <v>10</v>
      </c>
      <c r="Q86">
        <f t="shared" si="13"/>
        <v>10</v>
      </c>
      <c r="R86">
        <f t="shared" si="13"/>
        <v>10</v>
      </c>
      <c r="S86">
        <f t="shared" si="13"/>
        <v>10</v>
      </c>
      <c r="T86">
        <f t="shared" si="14"/>
        <v>10</v>
      </c>
      <c r="U86">
        <f t="shared" si="15"/>
        <v>0</v>
      </c>
      <c r="V86">
        <f t="shared" si="16"/>
        <v>0</v>
      </c>
      <c r="W86">
        <f t="shared" si="17"/>
        <v>0</v>
      </c>
    </row>
    <row r="87" spans="2:23">
      <c r="B87" s="22">
        <v>6</v>
      </c>
      <c r="C87" s="3"/>
      <c r="D87" s="101"/>
      <c r="E87" s="97"/>
      <c r="F87" s="98"/>
      <c r="G87" s="9"/>
      <c r="H87" s="9"/>
      <c r="I87" s="9"/>
      <c r="J87" s="9"/>
      <c r="K87" s="9"/>
      <c r="L87" s="3">
        <f t="shared" si="12"/>
        <v>0</v>
      </c>
      <c r="M87" s="17"/>
      <c r="O87">
        <f t="shared" si="13"/>
        <v>10</v>
      </c>
      <c r="P87">
        <f t="shared" si="13"/>
        <v>10</v>
      </c>
      <c r="Q87">
        <f t="shared" si="13"/>
        <v>10</v>
      </c>
      <c r="R87">
        <f t="shared" si="13"/>
        <v>10</v>
      </c>
      <c r="S87">
        <f t="shared" si="13"/>
        <v>10</v>
      </c>
      <c r="T87">
        <f t="shared" si="14"/>
        <v>10</v>
      </c>
      <c r="U87">
        <f t="shared" si="15"/>
        <v>0</v>
      </c>
      <c r="V87">
        <f t="shared" si="16"/>
        <v>0</v>
      </c>
      <c r="W87">
        <f t="shared" si="17"/>
        <v>0</v>
      </c>
    </row>
    <row r="88" spans="2:23">
      <c r="B88" s="22"/>
      <c r="C88" s="3"/>
      <c r="D88" s="116"/>
      <c r="E88" s="67"/>
      <c r="F88" s="67"/>
      <c r="G88" s="132" t="s">
        <v>51</v>
      </c>
      <c r="H88" s="132" t="s">
        <v>51</v>
      </c>
      <c r="I88" s="132" t="s">
        <v>51</v>
      </c>
      <c r="J88" s="132" t="s">
        <v>51</v>
      </c>
      <c r="K88" s="132" t="s">
        <v>52</v>
      </c>
      <c r="L88" s="3"/>
      <c r="M88" s="17"/>
    </row>
    <row r="89" spans="2:23">
      <c r="B89" s="22"/>
      <c r="C89" s="3"/>
      <c r="D89" s="67"/>
      <c r="E89" s="67"/>
      <c r="F89" s="67"/>
      <c r="G89" s="133"/>
      <c r="H89" s="133"/>
      <c r="I89" s="133"/>
      <c r="J89" s="133"/>
      <c r="K89" s="133"/>
      <c r="L89" s="3"/>
      <c r="M89" s="18"/>
    </row>
    <row r="90" spans="2:23">
      <c r="B90" s="22"/>
      <c r="C90" s="3"/>
      <c r="D90" s="67"/>
      <c r="E90" s="67"/>
      <c r="F90" s="67"/>
      <c r="G90" s="133"/>
      <c r="H90" s="133"/>
      <c r="I90" s="133"/>
      <c r="J90" s="133"/>
      <c r="K90" s="133"/>
      <c r="L90" s="3"/>
      <c r="M90" s="18"/>
    </row>
    <row r="91" spans="2:23">
      <c r="B91" s="22"/>
      <c r="C91" s="3"/>
      <c r="D91" s="67"/>
      <c r="E91" s="67"/>
      <c r="F91" s="67"/>
      <c r="G91" s="133"/>
      <c r="H91" s="133"/>
      <c r="I91" s="133"/>
      <c r="J91" s="133"/>
      <c r="K91" s="133"/>
      <c r="L91" s="3"/>
      <c r="M91" s="18"/>
    </row>
    <row r="92" spans="2:23">
      <c r="B92" s="22"/>
      <c r="C92" s="3"/>
      <c r="D92" s="67"/>
      <c r="E92" s="67"/>
      <c r="F92" s="67"/>
      <c r="G92" s="133"/>
      <c r="H92" s="133"/>
      <c r="I92" s="133"/>
      <c r="J92" s="133"/>
      <c r="K92" s="133"/>
      <c r="L92" s="3"/>
      <c r="M92" s="18"/>
    </row>
    <row r="93" spans="2:23" ht="14.25" thickBot="1">
      <c r="B93" s="28"/>
      <c r="C93" s="8"/>
      <c r="D93" s="117"/>
      <c r="E93" s="117"/>
      <c r="F93" s="117"/>
      <c r="G93" s="134"/>
      <c r="H93" s="134"/>
      <c r="I93" s="134"/>
      <c r="J93" s="134"/>
      <c r="K93" s="134"/>
      <c r="L93" s="8"/>
      <c r="M93" s="40"/>
    </row>
    <row r="94" spans="2:23" ht="14.25" thickBot="1">
      <c r="B94" s="41" t="s">
        <v>49</v>
      </c>
      <c r="C94" s="39">
        <f>SUM(C82:C93)</f>
        <v>8</v>
      </c>
      <c r="D94" s="36"/>
      <c r="E94" s="36"/>
      <c r="F94" s="36"/>
      <c r="G94" s="36"/>
      <c r="H94" s="36"/>
      <c r="I94" s="36"/>
      <c r="J94" s="36"/>
      <c r="K94" s="36"/>
      <c r="L94" s="39">
        <f>SUM(L82:L93)</f>
        <v>0</v>
      </c>
      <c r="M94" s="42"/>
    </row>
    <row r="95" spans="2:23" ht="14.25" thickBot="1"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3"/>
    </row>
    <row r="96" spans="2:23">
      <c r="B96" s="60" t="s">
        <v>33</v>
      </c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2"/>
    </row>
    <row r="97" spans="2:13" ht="14.25" thickBot="1">
      <c r="B97" s="26">
        <v>1</v>
      </c>
      <c r="C97" s="8">
        <v>2</v>
      </c>
      <c r="D97" s="135" t="s">
        <v>34</v>
      </c>
      <c r="E97" s="136"/>
      <c r="F97" s="137"/>
      <c r="G97" s="8"/>
      <c r="H97" s="8"/>
      <c r="I97" s="8"/>
      <c r="J97" s="8"/>
      <c r="K97" s="9"/>
      <c r="L97" s="8">
        <f>IF(K97=0,C97,(K97-1)*(-C97))</f>
        <v>2</v>
      </c>
      <c r="M97" s="31"/>
    </row>
    <row r="98" spans="2:13" s="13" customFormat="1" ht="14.25" thickBot="1">
      <c r="B98" s="43" t="s">
        <v>49</v>
      </c>
      <c r="C98" s="39">
        <f>SUM(C97)</f>
        <v>2</v>
      </c>
      <c r="D98" s="44"/>
      <c r="E98" s="44"/>
      <c r="F98" s="44"/>
      <c r="G98" s="45"/>
      <c r="H98" s="45"/>
      <c r="I98" s="45"/>
      <c r="J98" s="45"/>
      <c r="K98" s="45"/>
      <c r="L98" s="39">
        <f>SUM(L97)</f>
        <v>2</v>
      </c>
      <c r="M98" s="42"/>
    </row>
    <row r="99" spans="2:13" s="13" customFormat="1" ht="14.25" thickBot="1">
      <c r="B99" s="11"/>
      <c r="C99" s="11"/>
      <c r="G99" s="14"/>
      <c r="H99" s="14"/>
      <c r="I99" s="14"/>
      <c r="J99" s="14"/>
      <c r="K99" s="14"/>
      <c r="L99" s="11"/>
    </row>
    <row r="100" spans="2:13" ht="14.25" thickBot="1">
      <c r="B100" s="43"/>
      <c r="C100" s="39"/>
      <c r="D100" s="102"/>
      <c r="E100" s="103"/>
      <c r="F100" s="103"/>
      <c r="G100" s="103"/>
      <c r="H100" s="103"/>
      <c r="I100" s="104"/>
      <c r="J100" s="102" t="s">
        <v>35</v>
      </c>
      <c r="K100" s="104"/>
      <c r="L100" s="102" t="s">
        <v>36</v>
      </c>
      <c r="M100" s="141"/>
    </row>
    <row r="101" spans="2:13">
      <c r="B101" s="27"/>
      <c r="C101" s="12"/>
      <c r="D101" s="118" t="s">
        <v>37</v>
      </c>
      <c r="E101" s="119"/>
      <c r="F101" s="119"/>
      <c r="G101" s="119"/>
      <c r="H101" s="119"/>
      <c r="I101" s="120"/>
      <c r="J101" s="99"/>
      <c r="K101" s="143"/>
      <c r="L101" s="99"/>
      <c r="M101" s="100"/>
    </row>
    <row r="102" spans="2:13">
      <c r="B102" s="16"/>
      <c r="C102" s="3"/>
      <c r="D102" s="121" t="s">
        <v>38</v>
      </c>
      <c r="E102" s="122"/>
      <c r="F102" s="122"/>
      <c r="G102" s="122"/>
      <c r="H102" s="122"/>
      <c r="I102" s="123"/>
      <c r="J102" s="138"/>
      <c r="K102" s="139"/>
      <c r="L102" s="138"/>
      <c r="M102" s="142"/>
    </row>
    <row r="103" spans="2:13">
      <c r="B103" s="16"/>
      <c r="C103" s="3"/>
      <c r="D103" s="121" t="s">
        <v>39</v>
      </c>
      <c r="E103" s="122"/>
      <c r="F103" s="122"/>
      <c r="G103" s="122"/>
      <c r="H103" s="122"/>
      <c r="I103" s="123"/>
      <c r="J103" s="138"/>
      <c r="K103" s="139"/>
      <c r="L103" s="138"/>
      <c r="M103" s="142"/>
    </row>
    <row r="104" spans="2:13" ht="14.25" thickBot="1">
      <c r="B104" s="20"/>
      <c r="C104" s="21"/>
      <c r="D104" s="129" t="s">
        <v>40</v>
      </c>
      <c r="E104" s="130"/>
      <c r="F104" s="130"/>
      <c r="G104" s="130"/>
      <c r="H104" s="130"/>
      <c r="I104" s="131"/>
      <c r="J104" s="127"/>
      <c r="K104" s="128"/>
      <c r="L104" s="127"/>
      <c r="M104" s="140"/>
    </row>
  </sheetData>
  <protectedRanges>
    <protectedRange sqref="K97" name="区域5"/>
    <protectedRange sqref="G82:K93" name="区域4"/>
    <protectedRange sqref="K70:K76" name="区域3"/>
    <protectedRange sqref="K44:K63" name="区域2"/>
    <protectedRange sqref="K8:K30" name="区域1"/>
  </protectedRanges>
  <mergeCells count="39">
    <mergeCell ref="L104:M104"/>
    <mergeCell ref="J100:K100"/>
    <mergeCell ref="L100:M100"/>
    <mergeCell ref="H88:H93"/>
    <mergeCell ref="I88:I93"/>
    <mergeCell ref="L102:M102"/>
    <mergeCell ref="J101:K101"/>
    <mergeCell ref="J102:K102"/>
    <mergeCell ref="J88:J93"/>
    <mergeCell ref="L103:M103"/>
    <mergeCell ref="G4:H4"/>
    <mergeCell ref="I4:J4"/>
    <mergeCell ref="J104:K104"/>
    <mergeCell ref="D104:I104"/>
    <mergeCell ref="K88:K93"/>
    <mergeCell ref="D97:F97"/>
    <mergeCell ref="J103:K103"/>
    <mergeCell ref="D103:I103"/>
    <mergeCell ref="G88:G93"/>
    <mergeCell ref="L3:M3"/>
    <mergeCell ref="G3:H3"/>
    <mergeCell ref="D88:F93"/>
    <mergeCell ref="D101:I101"/>
    <mergeCell ref="D102:I102"/>
    <mergeCell ref="I3:J3"/>
    <mergeCell ref="D83:F83"/>
    <mergeCell ref="D84:F84"/>
    <mergeCell ref="D85:F85"/>
    <mergeCell ref="D86:F86"/>
    <mergeCell ref="L4:M4"/>
    <mergeCell ref="D82:F82"/>
    <mergeCell ref="L101:M101"/>
    <mergeCell ref="D87:F87"/>
    <mergeCell ref="D100:I100"/>
    <mergeCell ref="B1:M2"/>
    <mergeCell ref="B3:D3"/>
    <mergeCell ref="B4:D4"/>
    <mergeCell ref="E3:F3"/>
    <mergeCell ref="E4:F4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90" orientation="portrait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W101"/>
  <sheetViews>
    <sheetView topLeftCell="B16" workbookViewId="0">
      <selection activeCell="C84" sqref="C84"/>
    </sheetView>
  </sheetViews>
  <sheetFormatPr defaultRowHeight="13.5"/>
  <cols>
    <col min="2" max="2" width="4.75" customWidth="1"/>
    <col min="3" max="3" width="5.125" customWidth="1"/>
    <col min="5" max="5" width="8.875" customWidth="1"/>
    <col min="6" max="6" width="9.875" customWidth="1"/>
    <col min="7" max="11" width="8.875" style="7" customWidth="1"/>
    <col min="12" max="13" width="6.625" customWidth="1"/>
    <col min="15" max="23" width="9" hidden="1" customWidth="1"/>
    <col min="24" max="24" width="0" hidden="1" customWidth="1"/>
  </cols>
  <sheetData>
    <row r="1" spans="2:13" ht="16.5" customHeight="1">
      <c r="B1" s="105" t="s">
        <v>95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7"/>
    </row>
    <row r="2" spans="2:13" ht="16.5" customHeight="1">
      <c r="B2" s="108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3" ht="16.5" customHeight="1">
      <c r="B3" s="111" t="s">
        <v>41</v>
      </c>
      <c r="C3" s="86"/>
      <c r="D3" s="87"/>
      <c r="E3" s="85" t="str">
        <f ca="1">T(成绩单!E4)</f>
        <v/>
      </c>
      <c r="F3" s="87"/>
      <c r="G3" s="85" t="s">
        <v>47</v>
      </c>
      <c r="H3" s="87"/>
      <c r="I3" s="85" t="str">
        <f ca="1">T(成绩单!I4)</f>
        <v/>
      </c>
      <c r="J3" s="87"/>
      <c r="K3" s="10"/>
      <c r="L3" s="74"/>
      <c r="M3" s="115"/>
    </row>
    <row r="4" spans="2:13" ht="16.5" customHeight="1" thickBot="1">
      <c r="B4" s="112" t="s">
        <v>42</v>
      </c>
      <c r="C4" s="113"/>
      <c r="D4" s="114"/>
      <c r="E4" s="94" t="str">
        <f ca="1">T(成绩单!E5)</f>
        <v/>
      </c>
      <c r="F4" s="114"/>
      <c r="G4" s="94" t="s">
        <v>48</v>
      </c>
      <c r="H4" s="114"/>
      <c r="I4" s="126" t="s">
        <v>53</v>
      </c>
      <c r="J4" s="126"/>
      <c r="K4" s="15" t="s">
        <v>43</v>
      </c>
      <c r="L4" s="94">
        <f>SUM(L7:L94)</f>
        <v>2</v>
      </c>
      <c r="M4" s="95"/>
    </row>
    <row r="5" spans="2:13" ht="14.25" thickBot="1"/>
    <row r="6" spans="2:13" ht="14.25" thickBot="1">
      <c r="B6" s="32" t="s">
        <v>14</v>
      </c>
      <c r="C6" s="33" t="s">
        <v>0</v>
      </c>
      <c r="D6" s="33" t="s">
        <v>1</v>
      </c>
      <c r="E6" s="33" t="s">
        <v>9</v>
      </c>
      <c r="F6" s="33" t="s">
        <v>2</v>
      </c>
      <c r="G6" s="33" t="s">
        <v>3</v>
      </c>
      <c r="H6" s="33" t="s">
        <v>4</v>
      </c>
      <c r="I6" s="33" t="s">
        <v>5</v>
      </c>
      <c r="J6" s="33" t="s">
        <v>6</v>
      </c>
      <c r="K6" s="33" t="s">
        <v>7</v>
      </c>
      <c r="L6" s="33" t="s">
        <v>8</v>
      </c>
      <c r="M6" s="34" t="s">
        <v>13</v>
      </c>
    </row>
    <row r="7" spans="2:13">
      <c r="B7" s="60" t="s">
        <v>29</v>
      </c>
      <c r="C7" s="61"/>
      <c r="D7" s="61"/>
      <c r="E7" s="61"/>
      <c r="F7" s="61"/>
      <c r="G7" s="61"/>
      <c r="H7" s="61"/>
      <c r="I7" s="61"/>
      <c r="J7" s="61"/>
      <c r="K7" s="61"/>
      <c r="L7" s="61"/>
      <c r="M7" s="62"/>
    </row>
    <row r="8" spans="2:13">
      <c r="B8" s="16">
        <v>1</v>
      </c>
      <c r="C8" s="3">
        <v>1</v>
      </c>
      <c r="D8" s="4" t="s">
        <v>97</v>
      </c>
      <c r="E8" s="4" t="s">
        <v>116</v>
      </c>
      <c r="F8" s="4">
        <v>10</v>
      </c>
      <c r="G8" s="4">
        <v>0.02</v>
      </c>
      <c r="H8" s="4">
        <v>0</v>
      </c>
      <c r="I8" s="3">
        <f>SUM(F8+G8)</f>
        <v>10.02</v>
      </c>
      <c r="J8" s="3">
        <f>SUM(F8+H8)</f>
        <v>10</v>
      </c>
      <c r="K8" s="5"/>
      <c r="L8" s="3">
        <f>IF(K8&gt;=(J8-M8),(IF(K8&lt;=(I8+M8),C8,0)),0)</f>
        <v>0</v>
      </c>
      <c r="M8" s="17"/>
    </row>
    <row r="9" spans="2:13">
      <c r="B9" s="16">
        <v>2</v>
      </c>
      <c r="C9" s="3">
        <v>1</v>
      </c>
      <c r="D9" s="4" t="s">
        <v>98</v>
      </c>
      <c r="E9" s="66" t="s">
        <v>23</v>
      </c>
      <c r="F9" s="4">
        <v>5</v>
      </c>
      <c r="G9" s="4">
        <v>0.02</v>
      </c>
      <c r="H9" s="4">
        <v>0</v>
      </c>
      <c r="I9" s="3">
        <f>SUM(G9)</f>
        <v>0.02</v>
      </c>
      <c r="J9" s="3">
        <f>SUM(H9)</f>
        <v>0</v>
      </c>
      <c r="K9" s="5"/>
      <c r="L9" s="3">
        <f>IF(K9&gt;=(J9-M9),(IF(K9&lt;K16=(I9+M9),C9,0)),0)</f>
        <v>0</v>
      </c>
      <c r="M9" s="17"/>
    </row>
    <row r="10" spans="2:13">
      <c r="B10" s="16">
        <v>3</v>
      </c>
      <c r="C10" s="3">
        <v>1</v>
      </c>
      <c r="D10" s="4" t="s">
        <v>99</v>
      </c>
      <c r="E10" s="4" t="s">
        <v>117</v>
      </c>
      <c r="F10" s="4">
        <v>30</v>
      </c>
      <c r="G10" s="4">
        <v>2.5000000000000001E-2</v>
      </c>
      <c r="H10" s="4">
        <v>0</v>
      </c>
      <c r="I10" s="3">
        <f t="shared" ref="I10:I38" si="0">SUM(F10+G10)</f>
        <v>30.024999999999999</v>
      </c>
      <c r="J10" s="3">
        <f t="shared" ref="J10:J38" si="1">SUM(F10+H10)</f>
        <v>30</v>
      </c>
      <c r="K10" s="5"/>
      <c r="L10" s="3">
        <f t="shared" ref="L10:L38" si="2">IF(K10&gt;=(J10-M10),(IF(K10&lt;=(I10+M10),C10,0)),0)</f>
        <v>0</v>
      </c>
      <c r="M10" s="17"/>
    </row>
    <row r="11" spans="2:13">
      <c r="B11" s="16">
        <v>4</v>
      </c>
      <c r="C11" s="3">
        <v>1</v>
      </c>
      <c r="D11" s="4" t="s">
        <v>100</v>
      </c>
      <c r="E11" s="4" t="s">
        <v>116</v>
      </c>
      <c r="F11" s="4">
        <v>58</v>
      </c>
      <c r="G11" s="4">
        <v>-0.05</v>
      </c>
      <c r="H11" s="4">
        <v>-7.0000000000000007E-2</v>
      </c>
      <c r="I11" s="3">
        <f t="shared" si="0"/>
        <v>57.95</v>
      </c>
      <c r="J11" s="3">
        <f t="shared" si="1"/>
        <v>57.93</v>
      </c>
      <c r="K11" s="5"/>
      <c r="L11" s="3">
        <f t="shared" si="2"/>
        <v>0</v>
      </c>
      <c r="M11" s="17"/>
    </row>
    <row r="12" spans="2:13">
      <c r="B12" s="16">
        <v>5</v>
      </c>
      <c r="C12" s="3">
        <v>1</v>
      </c>
      <c r="D12" s="4" t="s">
        <v>100</v>
      </c>
      <c r="E12" s="4" t="s">
        <v>23</v>
      </c>
      <c r="F12" s="4">
        <v>47</v>
      </c>
      <c r="G12" s="4">
        <v>0</v>
      </c>
      <c r="H12" s="4">
        <v>-0.02</v>
      </c>
      <c r="I12" s="3">
        <f t="shared" si="0"/>
        <v>47</v>
      </c>
      <c r="J12" s="3">
        <f t="shared" si="1"/>
        <v>46.98</v>
      </c>
      <c r="K12" s="5"/>
      <c r="L12" s="3">
        <f t="shared" si="2"/>
        <v>0</v>
      </c>
      <c r="M12" s="17"/>
    </row>
    <row r="13" spans="2:13">
      <c r="B13" s="16">
        <v>6</v>
      </c>
      <c r="C13" s="3">
        <v>1</v>
      </c>
      <c r="D13" s="4" t="s">
        <v>98</v>
      </c>
      <c r="E13" s="4" t="s">
        <v>23</v>
      </c>
      <c r="F13" s="4">
        <v>2</v>
      </c>
      <c r="G13" s="4">
        <v>0.02</v>
      </c>
      <c r="H13" s="4">
        <v>0</v>
      </c>
      <c r="I13" s="3">
        <f t="shared" si="0"/>
        <v>2.02</v>
      </c>
      <c r="J13" s="3">
        <f t="shared" si="1"/>
        <v>2</v>
      </c>
      <c r="K13" s="5"/>
      <c r="L13" s="3">
        <f t="shared" si="2"/>
        <v>0</v>
      </c>
      <c r="M13" s="17"/>
    </row>
    <row r="14" spans="2:13">
      <c r="B14" s="16">
        <v>7</v>
      </c>
      <c r="C14" s="3">
        <v>1</v>
      </c>
      <c r="D14" s="4" t="s">
        <v>101</v>
      </c>
      <c r="E14" s="4" t="s">
        <v>23</v>
      </c>
      <c r="F14" s="4">
        <v>15</v>
      </c>
      <c r="G14" s="4">
        <v>0.02</v>
      </c>
      <c r="H14" s="4">
        <v>0</v>
      </c>
      <c r="I14" s="3">
        <f t="shared" si="0"/>
        <v>15.02</v>
      </c>
      <c r="J14" s="3">
        <f t="shared" si="1"/>
        <v>15</v>
      </c>
      <c r="K14" s="5"/>
      <c r="L14" s="3">
        <f t="shared" si="2"/>
        <v>0</v>
      </c>
      <c r="M14" s="17"/>
    </row>
    <row r="15" spans="2:13">
      <c r="B15" s="16">
        <v>8</v>
      </c>
      <c r="C15" s="3">
        <v>1</v>
      </c>
      <c r="D15" s="4" t="s">
        <v>102</v>
      </c>
      <c r="E15" s="4" t="s">
        <v>23</v>
      </c>
      <c r="F15" s="4">
        <v>94</v>
      </c>
      <c r="G15" s="4">
        <v>0.03</v>
      </c>
      <c r="H15" s="4">
        <v>0</v>
      </c>
      <c r="I15" s="3">
        <f t="shared" si="0"/>
        <v>94.03</v>
      </c>
      <c r="J15" s="3">
        <f t="shared" si="1"/>
        <v>94</v>
      </c>
      <c r="K15" s="5"/>
      <c r="L15" s="3">
        <f t="shared" si="2"/>
        <v>0</v>
      </c>
      <c r="M15" s="17"/>
    </row>
    <row r="16" spans="2:13">
      <c r="B16" s="16">
        <v>9</v>
      </c>
      <c r="C16" s="3">
        <v>1</v>
      </c>
      <c r="D16" s="4" t="s">
        <v>103</v>
      </c>
      <c r="E16" s="4" t="s">
        <v>23</v>
      </c>
      <c r="F16" s="4">
        <v>10</v>
      </c>
      <c r="G16" s="4">
        <v>0</v>
      </c>
      <c r="H16" s="4">
        <v>-0.02</v>
      </c>
      <c r="I16" s="3">
        <f t="shared" si="0"/>
        <v>10</v>
      </c>
      <c r="J16" s="3">
        <f t="shared" si="1"/>
        <v>9.98</v>
      </c>
      <c r="K16" s="5"/>
      <c r="L16" s="3">
        <f t="shared" si="2"/>
        <v>0</v>
      </c>
      <c r="M16" s="17"/>
    </row>
    <row r="17" spans="2:13">
      <c r="B17" s="16">
        <v>10</v>
      </c>
      <c r="C17" s="3">
        <v>1</v>
      </c>
      <c r="D17" s="4" t="s">
        <v>103</v>
      </c>
      <c r="E17" s="4" t="s">
        <v>10</v>
      </c>
      <c r="F17" s="4">
        <v>22</v>
      </c>
      <c r="G17" s="4">
        <v>0.02</v>
      </c>
      <c r="H17" s="4">
        <v>0</v>
      </c>
      <c r="I17" s="3">
        <f t="shared" si="0"/>
        <v>22.02</v>
      </c>
      <c r="J17" s="3">
        <f t="shared" si="1"/>
        <v>22</v>
      </c>
      <c r="K17" s="5"/>
      <c r="L17" s="3">
        <f t="shared" si="2"/>
        <v>0</v>
      </c>
      <c r="M17" s="17"/>
    </row>
    <row r="18" spans="2:13">
      <c r="B18" s="16">
        <v>11</v>
      </c>
      <c r="C18" s="3">
        <v>1</v>
      </c>
      <c r="D18" s="4" t="s">
        <v>104</v>
      </c>
      <c r="E18" s="4" t="s">
        <v>23</v>
      </c>
      <c r="F18" s="4">
        <v>80</v>
      </c>
      <c r="G18" s="4">
        <v>0</v>
      </c>
      <c r="H18" s="4">
        <v>-0.03</v>
      </c>
      <c r="I18" s="3">
        <f t="shared" si="0"/>
        <v>80</v>
      </c>
      <c r="J18" s="3">
        <f t="shared" si="1"/>
        <v>79.97</v>
      </c>
      <c r="K18" s="5"/>
      <c r="L18" s="3">
        <f t="shared" si="2"/>
        <v>0</v>
      </c>
      <c r="M18" s="17"/>
    </row>
    <row r="19" spans="2:13">
      <c r="B19" s="16">
        <v>12</v>
      </c>
      <c r="C19" s="3">
        <v>1</v>
      </c>
      <c r="D19" s="4" t="s">
        <v>55</v>
      </c>
      <c r="E19" s="4" t="s">
        <v>23</v>
      </c>
      <c r="F19" s="4">
        <v>40</v>
      </c>
      <c r="G19" s="4">
        <v>0.05</v>
      </c>
      <c r="H19" s="4">
        <v>0.02</v>
      </c>
      <c r="I19" s="3">
        <f t="shared" si="0"/>
        <v>40.049999999999997</v>
      </c>
      <c r="J19" s="3">
        <f t="shared" si="1"/>
        <v>40.020000000000003</v>
      </c>
      <c r="K19" s="5"/>
      <c r="L19" s="3">
        <f t="shared" si="2"/>
        <v>0</v>
      </c>
      <c r="M19" s="17"/>
    </row>
    <row r="20" spans="2:13">
      <c r="B20" s="16">
        <v>13</v>
      </c>
      <c r="C20" s="3">
        <v>1</v>
      </c>
      <c r="D20" s="4" t="s">
        <v>105</v>
      </c>
      <c r="E20" s="4" t="s">
        <v>10</v>
      </c>
      <c r="F20" s="4">
        <v>10</v>
      </c>
      <c r="G20" s="4">
        <v>1.7999999999999999E-2</v>
      </c>
      <c r="H20" s="4">
        <v>0</v>
      </c>
      <c r="I20" s="3">
        <f t="shared" si="0"/>
        <v>10.018000000000001</v>
      </c>
      <c r="J20" s="3">
        <f t="shared" si="1"/>
        <v>10</v>
      </c>
      <c r="K20" s="5"/>
      <c r="L20" s="3">
        <f t="shared" si="2"/>
        <v>0</v>
      </c>
      <c r="M20" s="17"/>
    </row>
    <row r="21" spans="2:13">
      <c r="B21" s="16">
        <v>14</v>
      </c>
      <c r="C21" s="3">
        <v>1</v>
      </c>
      <c r="D21" s="4" t="s">
        <v>106</v>
      </c>
      <c r="E21" s="3" t="s">
        <v>10</v>
      </c>
      <c r="F21" s="4">
        <v>20</v>
      </c>
      <c r="G21" s="4">
        <v>0</v>
      </c>
      <c r="H21" s="4">
        <v>-0.02</v>
      </c>
      <c r="I21" s="3">
        <f t="shared" si="0"/>
        <v>20</v>
      </c>
      <c r="J21" s="3">
        <f t="shared" si="1"/>
        <v>19.98</v>
      </c>
      <c r="K21" s="5"/>
      <c r="L21" s="3">
        <f t="shared" si="2"/>
        <v>0</v>
      </c>
      <c r="M21" s="17"/>
    </row>
    <row r="22" spans="2:13">
      <c r="B22" s="16">
        <v>15</v>
      </c>
      <c r="C22" s="3">
        <v>1</v>
      </c>
      <c r="D22" s="4" t="s">
        <v>56</v>
      </c>
      <c r="E22" s="3" t="s">
        <v>23</v>
      </c>
      <c r="F22" s="4">
        <v>9</v>
      </c>
      <c r="G22" s="4">
        <v>0.01</v>
      </c>
      <c r="H22" s="4">
        <v>-0.01</v>
      </c>
      <c r="I22" s="3">
        <f t="shared" si="0"/>
        <v>9.01</v>
      </c>
      <c r="J22" s="3">
        <f t="shared" si="1"/>
        <v>8.99</v>
      </c>
      <c r="K22" s="5"/>
      <c r="L22" s="3">
        <f t="shared" si="2"/>
        <v>0</v>
      </c>
      <c r="M22" s="17"/>
    </row>
    <row r="23" spans="2:13">
      <c r="B23" s="16">
        <v>16</v>
      </c>
      <c r="C23" s="3">
        <v>1</v>
      </c>
      <c r="D23" s="4" t="s">
        <v>107</v>
      </c>
      <c r="E23" s="3" t="s">
        <v>23</v>
      </c>
      <c r="F23" s="4">
        <v>9</v>
      </c>
      <c r="G23" s="4">
        <v>0.02</v>
      </c>
      <c r="H23" s="4">
        <v>0</v>
      </c>
      <c r="I23" s="3">
        <f t="shared" si="0"/>
        <v>9.02</v>
      </c>
      <c r="J23" s="3">
        <f t="shared" si="1"/>
        <v>9</v>
      </c>
      <c r="K23" s="5"/>
      <c r="L23" s="3">
        <f t="shared" si="2"/>
        <v>0</v>
      </c>
      <c r="M23" s="17"/>
    </row>
    <row r="24" spans="2:13">
      <c r="B24" s="16">
        <v>17</v>
      </c>
      <c r="C24" s="3">
        <v>1</v>
      </c>
      <c r="D24" s="4" t="s">
        <v>108</v>
      </c>
      <c r="E24" s="3" t="s">
        <v>23</v>
      </c>
      <c r="F24" s="4">
        <v>20</v>
      </c>
      <c r="G24" s="4">
        <v>0.02</v>
      </c>
      <c r="H24" s="4">
        <v>0</v>
      </c>
      <c r="I24" s="3">
        <f>SUM(F24+G24)</f>
        <v>20.02</v>
      </c>
      <c r="J24" s="3">
        <f>SUM(F24+H24)</f>
        <v>20</v>
      </c>
      <c r="K24" s="5"/>
      <c r="L24" s="3">
        <f t="shared" si="2"/>
        <v>0</v>
      </c>
      <c r="M24" s="17"/>
    </row>
    <row r="25" spans="2:13">
      <c r="B25" s="16">
        <v>18</v>
      </c>
      <c r="C25" s="3">
        <v>1</v>
      </c>
      <c r="D25" s="4" t="s">
        <v>109</v>
      </c>
      <c r="E25" s="3" t="s">
        <v>23</v>
      </c>
      <c r="F25" s="4">
        <v>20</v>
      </c>
      <c r="G25" s="4">
        <v>0</v>
      </c>
      <c r="H25" s="4">
        <v>-0.02</v>
      </c>
      <c r="I25" s="3">
        <f t="shared" si="0"/>
        <v>20</v>
      </c>
      <c r="J25" s="3">
        <f t="shared" si="1"/>
        <v>19.98</v>
      </c>
      <c r="K25" s="5"/>
      <c r="L25" s="3">
        <f t="shared" si="2"/>
        <v>0</v>
      </c>
      <c r="M25" s="17"/>
    </row>
    <row r="26" spans="2:13">
      <c r="B26" s="16">
        <v>19</v>
      </c>
      <c r="C26" s="3">
        <v>1</v>
      </c>
      <c r="D26" s="4" t="s">
        <v>56</v>
      </c>
      <c r="E26" s="3" t="s">
        <v>23</v>
      </c>
      <c r="F26" s="4">
        <v>10</v>
      </c>
      <c r="G26" s="4">
        <v>0.02</v>
      </c>
      <c r="H26" s="4">
        <v>0</v>
      </c>
      <c r="I26" s="3">
        <f t="shared" si="0"/>
        <v>10.02</v>
      </c>
      <c r="J26" s="3">
        <f t="shared" si="1"/>
        <v>10</v>
      </c>
      <c r="K26" s="5"/>
      <c r="L26" s="3">
        <f t="shared" si="2"/>
        <v>0</v>
      </c>
      <c r="M26" s="17"/>
    </row>
    <row r="27" spans="2:13">
      <c r="B27" s="16">
        <v>20</v>
      </c>
      <c r="C27" s="3">
        <v>1</v>
      </c>
      <c r="D27" s="4" t="s">
        <v>110</v>
      </c>
      <c r="E27" s="3" t="s">
        <v>23</v>
      </c>
      <c r="F27" s="4">
        <v>20</v>
      </c>
      <c r="G27" s="4">
        <v>0</v>
      </c>
      <c r="H27" s="4">
        <v>-0.02</v>
      </c>
      <c r="I27" s="3">
        <f t="shared" si="0"/>
        <v>20</v>
      </c>
      <c r="J27" s="3">
        <f t="shared" si="1"/>
        <v>19.98</v>
      </c>
      <c r="K27" s="5"/>
      <c r="L27" s="3">
        <f t="shared" si="2"/>
        <v>0</v>
      </c>
      <c r="M27" s="17"/>
    </row>
    <row r="28" spans="2:13">
      <c r="B28" s="16">
        <v>21</v>
      </c>
      <c r="C28" s="3">
        <v>1</v>
      </c>
      <c r="D28" s="4" t="s">
        <v>111</v>
      </c>
      <c r="E28" s="3" t="s">
        <v>23</v>
      </c>
      <c r="F28" s="4">
        <v>20</v>
      </c>
      <c r="G28" s="4">
        <v>0.02</v>
      </c>
      <c r="H28" s="4">
        <v>0</v>
      </c>
      <c r="I28" s="3">
        <f t="shared" si="0"/>
        <v>20.02</v>
      </c>
      <c r="J28" s="3">
        <f t="shared" si="1"/>
        <v>20</v>
      </c>
      <c r="K28" s="5"/>
      <c r="L28" s="3">
        <f t="shared" si="2"/>
        <v>0</v>
      </c>
      <c r="M28" s="17"/>
    </row>
    <row r="29" spans="2:13">
      <c r="B29" s="16">
        <v>22</v>
      </c>
      <c r="C29" s="3">
        <v>1.5</v>
      </c>
      <c r="D29" s="4" t="s">
        <v>113</v>
      </c>
      <c r="E29" s="3" t="s">
        <v>23</v>
      </c>
      <c r="F29" s="4">
        <v>33</v>
      </c>
      <c r="G29" s="4">
        <v>0</v>
      </c>
      <c r="H29" s="4">
        <v>-0.03</v>
      </c>
      <c r="I29" s="3">
        <f t="shared" si="0"/>
        <v>33</v>
      </c>
      <c r="J29" s="3">
        <f t="shared" si="1"/>
        <v>32.97</v>
      </c>
      <c r="K29" s="5"/>
      <c r="L29" s="3">
        <f t="shared" si="2"/>
        <v>0</v>
      </c>
      <c r="M29" s="17"/>
    </row>
    <row r="30" spans="2:13">
      <c r="B30" s="16">
        <v>23</v>
      </c>
      <c r="C30" s="3">
        <v>1</v>
      </c>
      <c r="D30" s="4" t="s">
        <v>118</v>
      </c>
      <c r="E30" s="3" t="s">
        <v>23</v>
      </c>
      <c r="F30" s="4">
        <v>98</v>
      </c>
      <c r="G30" s="4">
        <v>0.08</v>
      </c>
      <c r="H30" s="4">
        <v>0.05</v>
      </c>
      <c r="I30" s="3">
        <f t="shared" si="0"/>
        <v>98.08</v>
      </c>
      <c r="J30" s="3">
        <f t="shared" si="1"/>
        <v>98.05</v>
      </c>
      <c r="K30" s="5"/>
      <c r="L30" s="3">
        <f t="shared" si="2"/>
        <v>0</v>
      </c>
      <c r="M30" s="17"/>
    </row>
    <row r="31" spans="2:13">
      <c r="B31" s="16">
        <v>24</v>
      </c>
      <c r="C31" s="3">
        <v>1</v>
      </c>
      <c r="D31" s="4" t="s">
        <v>119</v>
      </c>
      <c r="E31" s="3" t="s">
        <v>23</v>
      </c>
      <c r="F31" s="4">
        <v>13</v>
      </c>
      <c r="G31" s="4">
        <v>0.04</v>
      </c>
      <c r="H31" s="4">
        <v>0.02</v>
      </c>
      <c r="I31" s="3">
        <f t="shared" si="0"/>
        <v>13.04</v>
      </c>
      <c r="J31" s="3">
        <f t="shared" si="1"/>
        <v>13.02</v>
      </c>
      <c r="K31" s="5"/>
      <c r="L31" s="3">
        <f t="shared" si="2"/>
        <v>0</v>
      </c>
      <c r="M31" s="17"/>
    </row>
    <row r="32" spans="2:13">
      <c r="B32" s="16">
        <v>25</v>
      </c>
      <c r="C32" s="3">
        <v>1.5</v>
      </c>
      <c r="D32" s="4" t="s">
        <v>120</v>
      </c>
      <c r="E32" s="3" t="s">
        <v>23</v>
      </c>
      <c r="F32" s="4">
        <v>27</v>
      </c>
      <c r="G32" s="4">
        <v>2.5000000000000001E-2</v>
      </c>
      <c r="H32" s="4">
        <v>0</v>
      </c>
      <c r="I32" s="3">
        <f t="shared" si="0"/>
        <v>27.024999999999999</v>
      </c>
      <c r="J32" s="3">
        <f t="shared" si="1"/>
        <v>27</v>
      </c>
      <c r="K32" s="5"/>
      <c r="L32" s="3">
        <f t="shared" si="2"/>
        <v>0</v>
      </c>
      <c r="M32" s="17"/>
    </row>
    <row r="33" spans="2:13">
      <c r="B33" s="16">
        <v>26</v>
      </c>
      <c r="C33" s="3">
        <v>1</v>
      </c>
      <c r="D33" s="4" t="s">
        <v>121</v>
      </c>
      <c r="E33" s="3" t="s">
        <v>23</v>
      </c>
      <c r="F33" s="4">
        <v>8</v>
      </c>
      <c r="G33" s="4">
        <v>7.0000000000000007E-2</v>
      </c>
      <c r="H33" s="4">
        <v>0.05</v>
      </c>
      <c r="I33" s="3">
        <f t="shared" si="0"/>
        <v>8.07</v>
      </c>
      <c r="J33" s="3">
        <f t="shared" si="1"/>
        <v>8.0500000000000007</v>
      </c>
      <c r="K33" s="5"/>
      <c r="L33" s="3">
        <f t="shared" si="2"/>
        <v>0</v>
      </c>
      <c r="M33" s="17"/>
    </row>
    <row r="34" spans="2:13">
      <c r="B34" s="16"/>
      <c r="C34" s="3"/>
      <c r="D34" s="3"/>
      <c r="E34" s="3"/>
      <c r="F34" s="3"/>
      <c r="G34" s="3"/>
      <c r="H34" s="3"/>
      <c r="I34" s="3">
        <f t="shared" si="0"/>
        <v>0</v>
      </c>
      <c r="J34" s="3">
        <f t="shared" si="1"/>
        <v>0</v>
      </c>
      <c r="K34" s="5"/>
      <c r="L34" s="3">
        <f t="shared" si="2"/>
        <v>0</v>
      </c>
      <c r="M34" s="17"/>
    </row>
    <row r="35" spans="2:13">
      <c r="B35" s="16"/>
      <c r="C35" s="3"/>
      <c r="D35" s="3"/>
      <c r="E35" s="3"/>
      <c r="F35" s="3"/>
      <c r="G35" s="3"/>
      <c r="H35" s="3"/>
      <c r="I35" s="3">
        <f t="shared" si="0"/>
        <v>0</v>
      </c>
      <c r="J35" s="3">
        <f t="shared" si="1"/>
        <v>0</v>
      </c>
      <c r="K35" s="5"/>
      <c r="L35" s="3">
        <f t="shared" si="2"/>
        <v>0</v>
      </c>
      <c r="M35" s="17"/>
    </row>
    <row r="36" spans="2:13">
      <c r="B36" s="16"/>
      <c r="C36" s="3"/>
      <c r="D36" s="3"/>
      <c r="E36" s="3"/>
      <c r="F36" s="3"/>
      <c r="G36" s="3"/>
      <c r="H36" s="3"/>
      <c r="I36" s="3">
        <f t="shared" si="0"/>
        <v>0</v>
      </c>
      <c r="J36" s="3">
        <f t="shared" si="1"/>
        <v>0</v>
      </c>
      <c r="K36" s="5"/>
      <c r="L36" s="3">
        <f t="shared" si="2"/>
        <v>0</v>
      </c>
      <c r="M36" s="17"/>
    </row>
    <row r="37" spans="2:13">
      <c r="B37" s="16"/>
      <c r="C37" s="3"/>
      <c r="D37" s="3"/>
      <c r="E37" s="3"/>
      <c r="F37" s="3"/>
      <c r="G37" s="3"/>
      <c r="H37" s="3"/>
      <c r="I37" s="3">
        <f t="shared" si="0"/>
        <v>0</v>
      </c>
      <c r="J37" s="3">
        <f t="shared" si="1"/>
        <v>0</v>
      </c>
      <c r="K37" s="5"/>
      <c r="L37" s="3">
        <f t="shared" si="2"/>
        <v>0</v>
      </c>
      <c r="M37" s="17"/>
    </row>
    <row r="38" spans="2:13" ht="14.25" thickBot="1">
      <c r="B38" s="26"/>
      <c r="C38" s="8"/>
      <c r="D38" s="8"/>
      <c r="E38" s="8"/>
      <c r="F38" s="8"/>
      <c r="G38" s="8"/>
      <c r="H38" s="8"/>
      <c r="I38" s="8">
        <f t="shared" si="0"/>
        <v>0</v>
      </c>
      <c r="J38" s="8">
        <f t="shared" si="1"/>
        <v>0</v>
      </c>
      <c r="K38" s="9"/>
      <c r="L38" s="8">
        <f t="shared" si="2"/>
        <v>0</v>
      </c>
      <c r="M38" s="31"/>
    </row>
    <row r="39" spans="2:13" ht="14.25" thickBot="1">
      <c r="B39" s="35" t="s">
        <v>49</v>
      </c>
      <c r="C39" s="36">
        <f>SUM(C8:C38)</f>
        <v>27</v>
      </c>
      <c r="D39" s="36"/>
      <c r="E39" s="36"/>
      <c r="F39" s="36"/>
      <c r="G39" s="36"/>
      <c r="H39" s="36"/>
      <c r="I39" s="36"/>
      <c r="J39" s="36"/>
      <c r="K39" s="37"/>
      <c r="L39" s="37">
        <f>SUM(L8:L38)</f>
        <v>0</v>
      </c>
      <c r="M39" s="38"/>
    </row>
    <row r="40" spans="2:13" ht="14.25" thickBot="1">
      <c r="B40" s="30"/>
      <c r="C40" s="11"/>
      <c r="D40" s="11"/>
      <c r="E40" s="11"/>
      <c r="F40" s="11"/>
      <c r="G40" s="11"/>
      <c r="H40" s="11"/>
      <c r="I40" s="11"/>
      <c r="J40" s="11"/>
      <c r="K40" s="29"/>
      <c r="L40" s="29"/>
      <c r="M40" s="11"/>
    </row>
    <row r="41" spans="2:13">
      <c r="B41" s="60" t="s">
        <v>30</v>
      </c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2"/>
    </row>
    <row r="42" spans="2:13">
      <c r="B42" s="16">
        <v>1</v>
      </c>
      <c r="C42" s="3">
        <v>1</v>
      </c>
      <c r="D42" s="1" t="s">
        <v>113</v>
      </c>
      <c r="E42" s="3" t="s">
        <v>11</v>
      </c>
      <c r="F42" s="3" t="s">
        <v>114</v>
      </c>
      <c r="G42" s="3"/>
      <c r="H42" s="3"/>
      <c r="I42" s="3" t="s">
        <v>44</v>
      </c>
      <c r="J42" s="3" t="s">
        <v>45</v>
      </c>
      <c r="K42" s="5"/>
      <c r="L42" s="3">
        <f>IF(K42=I42,(IF(K42&lt;&gt;J42,C42,0)),0)</f>
        <v>0</v>
      </c>
      <c r="M42" s="17"/>
    </row>
    <row r="43" spans="2:13">
      <c r="B43" s="16">
        <v>2</v>
      </c>
      <c r="C43" s="3">
        <v>0.8</v>
      </c>
      <c r="D43" s="1" t="s">
        <v>110</v>
      </c>
      <c r="E43" s="3" t="s">
        <v>11</v>
      </c>
      <c r="F43" s="3" t="s">
        <v>115</v>
      </c>
      <c r="G43" s="3"/>
      <c r="H43" s="3"/>
      <c r="I43" s="3" t="s">
        <v>44</v>
      </c>
      <c r="J43" s="3" t="s">
        <v>45</v>
      </c>
      <c r="K43" s="5"/>
      <c r="L43" s="3">
        <f>IF(K43=I43,(IF(K43&lt;&gt;J43,C43,0)),0)</f>
        <v>0</v>
      </c>
      <c r="M43" s="17"/>
    </row>
    <row r="44" spans="2:13">
      <c r="B44" s="16">
        <v>3</v>
      </c>
      <c r="C44" s="3">
        <v>0.8</v>
      </c>
      <c r="D44" s="1" t="s">
        <v>112</v>
      </c>
      <c r="E44" s="3" t="s">
        <v>11</v>
      </c>
      <c r="F44" s="3" t="s">
        <v>115</v>
      </c>
      <c r="G44" s="3"/>
      <c r="H44" s="3"/>
      <c r="I44" s="3" t="s">
        <v>44</v>
      </c>
      <c r="J44" s="3" t="s">
        <v>45</v>
      </c>
      <c r="K44" s="5"/>
      <c r="L44" s="3">
        <f>IF(K44=I44,(IF(K44&lt;&gt;J44,C44,0)),0)</f>
        <v>0</v>
      </c>
      <c r="M44" s="17"/>
    </row>
    <row r="45" spans="2:13">
      <c r="B45" s="16">
        <v>4</v>
      </c>
      <c r="C45" s="3">
        <v>0.4</v>
      </c>
      <c r="D45" s="1" t="s">
        <v>96</v>
      </c>
      <c r="E45" s="3" t="s">
        <v>23</v>
      </c>
      <c r="F45" s="3">
        <v>20</v>
      </c>
      <c r="G45" s="3">
        <v>0.1</v>
      </c>
      <c r="H45" s="3">
        <v>-0.1</v>
      </c>
      <c r="I45" s="3">
        <f t="shared" ref="I45:I62" si="3">SUM(F45+G45)</f>
        <v>20.100000000000001</v>
      </c>
      <c r="J45" s="3">
        <f t="shared" ref="J45:J62" si="4">SUM(F45+H45)</f>
        <v>19.899999999999999</v>
      </c>
      <c r="K45" s="5"/>
      <c r="L45" s="3">
        <f t="shared" ref="L45:L62" si="5">IF(K45&gt;=(J45-M45),(IF(K45&lt;=(I45+M45),C45,0)),0)</f>
        <v>0</v>
      </c>
      <c r="M45" s="17"/>
    </row>
    <row r="46" spans="2:13">
      <c r="B46" s="16">
        <v>5</v>
      </c>
      <c r="C46" s="3">
        <v>0.5</v>
      </c>
      <c r="D46" s="2" t="s">
        <v>122</v>
      </c>
      <c r="E46" s="3" t="s">
        <v>23</v>
      </c>
      <c r="F46" s="3">
        <v>144</v>
      </c>
      <c r="G46" s="3">
        <v>0.1</v>
      </c>
      <c r="H46" s="3">
        <v>-0.1</v>
      </c>
      <c r="I46" s="3">
        <f t="shared" si="3"/>
        <v>144.1</v>
      </c>
      <c r="J46" s="3">
        <f t="shared" si="4"/>
        <v>143.9</v>
      </c>
      <c r="K46" s="5"/>
      <c r="L46" s="3">
        <f t="shared" si="5"/>
        <v>0</v>
      </c>
      <c r="M46" s="17"/>
    </row>
    <row r="47" spans="2:13">
      <c r="B47" s="16">
        <v>6</v>
      </c>
      <c r="C47" s="3">
        <v>0.4</v>
      </c>
      <c r="D47" s="1" t="s">
        <v>54</v>
      </c>
      <c r="E47" s="3" t="s">
        <v>23</v>
      </c>
      <c r="F47" s="3">
        <v>8</v>
      </c>
      <c r="G47" s="3">
        <v>0.1</v>
      </c>
      <c r="H47" s="3">
        <v>-0.1</v>
      </c>
      <c r="I47" s="3">
        <f t="shared" si="3"/>
        <v>8.1</v>
      </c>
      <c r="J47" s="3">
        <f t="shared" si="4"/>
        <v>7.9</v>
      </c>
      <c r="K47" s="5"/>
      <c r="L47" s="3">
        <f t="shared" si="5"/>
        <v>0</v>
      </c>
      <c r="M47" s="17"/>
    </row>
    <row r="48" spans="2:13">
      <c r="B48" s="16">
        <v>7</v>
      </c>
      <c r="C48" s="3">
        <v>0.5</v>
      </c>
      <c r="D48" s="1" t="s">
        <v>123</v>
      </c>
      <c r="E48" s="3" t="s">
        <v>23</v>
      </c>
      <c r="F48" s="3">
        <v>56</v>
      </c>
      <c r="G48" s="3">
        <v>0.1</v>
      </c>
      <c r="H48" s="3">
        <v>-0.1</v>
      </c>
      <c r="I48" s="3">
        <f t="shared" si="3"/>
        <v>56.1</v>
      </c>
      <c r="J48" s="3">
        <f t="shared" si="4"/>
        <v>55.9</v>
      </c>
      <c r="K48" s="5"/>
      <c r="L48" s="3">
        <f t="shared" si="5"/>
        <v>0</v>
      </c>
      <c r="M48" s="17"/>
    </row>
    <row r="49" spans="2:13">
      <c r="B49" s="16">
        <v>8</v>
      </c>
      <c r="C49" s="3">
        <v>0.4</v>
      </c>
      <c r="D49" s="1" t="s">
        <v>124</v>
      </c>
      <c r="E49" s="3" t="s">
        <v>23</v>
      </c>
      <c r="F49" s="3">
        <v>13</v>
      </c>
      <c r="G49" s="3">
        <v>0.1</v>
      </c>
      <c r="H49" s="3">
        <v>-0.1</v>
      </c>
      <c r="I49" s="3">
        <f t="shared" si="3"/>
        <v>13.1</v>
      </c>
      <c r="J49" s="3">
        <f t="shared" si="4"/>
        <v>12.9</v>
      </c>
      <c r="K49" s="5"/>
      <c r="L49" s="3">
        <f t="shared" si="5"/>
        <v>0</v>
      </c>
      <c r="M49" s="17"/>
    </row>
    <row r="50" spans="2:13">
      <c r="B50" s="16">
        <v>9</v>
      </c>
      <c r="C50" s="3">
        <v>0.4</v>
      </c>
      <c r="D50" s="1" t="s">
        <v>125</v>
      </c>
      <c r="E50" s="65" t="s">
        <v>116</v>
      </c>
      <c r="F50" s="3">
        <v>15</v>
      </c>
      <c r="G50" s="3">
        <v>0.1</v>
      </c>
      <c r="H50" s="3">
        <v>-0.1</v>
      </c>
      <c r="I50" s="3">
        <f t="shared" si="3"/>
        <v>15.1</v>
      </c>
      <c r="J50" s="3">
        <f t="shared" si="4"/>
        <v>14.9</v>
      </c>
      <c r="K50" s="5"/>
      <c r="L50" s="3">
        <f t="shared" si="5"/>
        <v>0</v>
      </c>
      <c r="M50" s="17"/>
    </row>
    <row r="51" spans="2:13">
      <c r="B51" s="16">
        <v>10</v>
      </c>
      <c r="C51" s="3">
        <v>0.4</v>
      </c>
      <c r="D51" s="1" t="s">
        <v>125</v>
      </c>
      <c r="E51" s="3" t="s">
        <v>23</v>
      </c>
      <c r="F51" s="3">
        <v>48</v>
      </c>
      <c r="G51" s="3">
        <v>0.1</v>
      </c>
      <c r="H51" s="3">
        <v>-0.1</v>
      </c>
      <c r="I51" s="3">
        <f t="shared" si="3"/>
        <v>48.1</v>
      </c>
      <c r="J51" s="3">
        <f t="shared" si="4"/>
        <v>47.9</v>
      </c>
      <c r="K51" s="5"/>
      <c r="L51" s="3">
        <f t="shared" si="5"/>
        <v>0</v>
      </c>
      <c r="M51" s="17"/>
    </row>
    <row r="52" spans="2:13">
      <c r="B52" s="16">
        <v>11</v>
      </c>
      <c r="C52" s="3">
        <v>0.4</v>
      </c>
      <c r="D52" s="2" t="s">
        <v>126</v>
      </c>
      <c r="E52" s="3" t="s">
        <v>23</v>
      </c>
      <c r="F52" s="3">
        <v>15</v>
      </c>
      <c r="G52" s="3">
        <v>0.1</v>
      </c>
      <c r="H52" s="3">
        <v>-0.1</v>
      </c>
      <c r="I52" s="3">
        <f t="shared" si="3"/>
        <v>15.1</v>
      </c>
      <c r="J52" s="3">
        <f t="shared" si="4"/>
        <v>14.9</v>
      </c>
      <c r="K52" s="5"/>
      <c r="L52" s="3">
        <f t="shared" si="5"/>
        <v>0</v>
      </c>
      <c r="M52" s="17"/>
    </row>
    <row r="53" spans="2:13">
      <c r="B53" s="16">
        <v>12</v>
      </c>
      <c r="C53" s="3">
        <v>0.4</v>
      </c>
      <c r="D53" s="2" t="s">
        <v>127</v>
      </c>
      <c r="E53" s="3" t="s">
        <v>23</v>
      </c>
      <c r="F53" s="3">
        <v>6</v>
      </c>
      <c r="G53" s="3">
        <v>0.1</v>
      </c>
      <c r="H53" s="3">
        <v>-0.1</v>
      </c>
      <c r="I53" s="3">
        <f t="shared" si="3"/>
        <v>6.1</v>
      </c>
      <c r="J53" s="3">
        <f t="shared" si="4"/>
        <v>5.9</v>
      </c>
      <c r="K53" s="5"/>
      <c r="L53" s="3">
        <f t="shared" si="5"/>
        <v>0</v>
      </c>
      <c r="M53" s="17"/>
    </row>
    <row r="54" spans="2:13">
      <c r="B54" s="16">
        <v>13</v>
      </c>
      <c r="C54" s="3">
        <v>0.4</v>
      </c>
      <c r="D54" s="1" t="s">
        <v>128</v>
      </c>
      <c r="E54" s="3" t="s">
        <v>23</v>
      </c>
      <c r="F54" s="3">
        <v>30</v>
      </c>
      <c r="G54" s="3">
        <v>0.1</v>
      </c>
      <c r="H54" s="3">
        <v>-0.1</v>
      </c>
      <c r="I54" s="3">
        <f t="shared" si="3"/>
        <v>30.1</v>
      </c>
      <c r="J54" s="3">
        <f t="shared" si="4"/>
        <v>29.9</v>
      </c>
      <c r="K54" s="5"/>
      <c r="L54" s="3">
        <f t="shared" si="5"/>
        <v>0</v>
      </c>
      <c r="M54" s="17"/>
    </row>
    <row r="55" spans="2:13">
      <c r="B55" s="16">
        <v>14</v>
      </c>
      <c r="C55" s="3">
        <v>0.4</v>
      </c>
      <c r="D55" s="1" t="s">
        <v>129</v>
      </c>
      <c r="E55" s="3" t="s">
        <v>23</v>
      </c>
      <c r="F55" s="3">
        <v>10</v>
      </c>
      <c r="G55" s="3">
        <v>0.1</v>
      </c>
      <c r="H55" s="3">
        <v>-0.1</v>
      </c>
      <c r="I55" s="3">
        <f t="shared" si="3"/>
        <v>10.1</v>
      </c>
      <c r="J55" s="3">
        <f t="shared" si="4"/>
        <v>9.9</v>
      </c>
      <c r="K55" s="5"/>
      <c r="L55" s="3">
        <f t="shared" si="5"/>
        <v>0</v>
      </c>
      <c r="M55" s="17"/>
    </row>
    <row r="56" spans="2:13">
      <c r="B56" s="16">
        <v>15</v>
      </c>
      <c r="C56" s="3">
        <v>0.5</v>
      </c>
      <c r="D56" s="1" t="s">
        <v>130</v>
      </c>
      <c r="E56" s="3" t="s">
        <v>23</v>
      </c>
      <c r="F56" s="3">
        <v>148</v>
      </c>
      <c r="G56" s="3">
        <v>0.1</v>
      </c>
      <c r="H56" s="3">
        <v>-0.1</v>
      </c>
      <c r="I56" s="3">
        <f t="shared" si="3"/>
        <v>148.1</v>
      </c>
      <c r="J56" s="3">
        <f t="shared" si="4"/>
        <v>147.9</v>
      </c>
      <c r="K56" s="5"/>
      <c r="L56" s="3">
        <f t="shared" si="5"/>
        <v>0</v>
      </c>
      <c r="M56" s="17"/>
    </row>
    <row r="57" spans="2:13">
      <c r="B57" s="16">
        <v>16</v>
      </c>
      <c r="C57" s="3">
        <v>0.4</v>
      </c>
      <c r="D57" s="1" t="s">
        <v>131</v>
      </c>
      <c r="E57" s="3" t="s">
        <v>23</v>
      </c>
      <c r="F57" s="3">
        <v>28</v>
      </c>
      <c r="G57" s="3">
        <v>0.1</v>
      </c>
      <c r="H57" s="3">
        <v>-0.1</v>
      </c>
      <c r="I57" s="3">
        <f t="shared" si="3"/>
        <v>28.1</v>
      </c>
      <c r="J57" s="3">
        <f t="shared" si="4"/>
        <v>27.9</v>
      </c>
      <c r="K57" s="5"/>
      <c r="L57" s="3">
        <f t="shared" si="5"/>
        <v>0</v>
      </c>
      <c r="M57" s="17"/>
    </row>
    <row r="58" spans="2:13">
      <c r="B58" s="16">
        <v>17</v>
      </c>
      <c r="C58" s="3">
        <v>0.4</v>
      </c>
      <c r="D58" s="1" t="s">
        <v>131</v>
      </c>
      <c r="E58" s="3" t="s">
        <v>23</v>
      </c>
      <c r="F58" s="3">
        <v>55</v>
      </c>
      <c r="G58" s="3">
        <v>0.1</v>
      </c>
      <c r="H58" s="3">
        <v>-0.1</v>
      </c>
      <c r="I58" s="3">
        <f t="shared" si="3"/>
        <v>55.1</v>
      </c>
      <c r="J58" s="3">
        <f t="shared" si="4"/>
        <v>54.9</v>
      </c>
      <c r="K58" s="5"/>
      <c r="L58" s="3">
        <f t="shared" si="5"/>
        <v>0</v>
      </c>
      <c r="M58" s="17"/>
    </row>
    <row r="59" spans="2:13">
      <c r="B59" s="16">
        <v>18</v>
      </c>
      <c r="C59" s="3">
        <v>0.4</v>
      </c>
      <c r="D59" s="1" t="s">
        <v>132</v>
      </c>
      <c r="E59" s="3" t="s">
        <v>23</v>
      </c>
      <c r="F59" s="3">
        <v>35</v>
      </c>
      <c r="G59" s="3">
        <v>0.1</v>
      </c>
      <c r="H59" s="3">
        <v>-0.1</v>
      </c>
      <c r="I59" s="3">
        <f t="shared" si="3"/>
        <v>35.1</v>
      </c>
      <c r="J59" s="3">
        <f t="shared" si="4"/>
        <v>34.9</v>
      </c>
      <c r="K59" s="5"/>
      <c r="L59" s="3">
        <f t="shared" si="5"/>
        <v>0</v>
      </c>
      <c r="M59" s="17"/>
    </row>
    <row r="60" spans="2:13">
      <c r="B60" s="16">
        <v>19</v>
      </c>
      <c r="C60" s="3">
        <v>0.4</v>
      </c>
      <c r="D60" s="1" t="s">
        <v>54</v>
      </c>
      <c r="E60" s="65" t="s">
        <v>10</v>
      </c>
      <c r="F60" s="3">
        <v>20</v>
      </c>
      <c r="G60" s="3">
        <v>0.1</v>
      </c>
      <c r="H60" s="3">
        <v>-0.1</v>
      </c>
      <c r="I60" s="3">
        <f t="shared" si="3"/>
        <v>20.100000000000001</v>
      </c>
      <c r="J60" s="3">
        <f t="shared" si="4"/>
        <v>19.899999999999999</v>
      </c>
      <c r="K60" s="5"/>
      <c r="L60" s="3">
        <f t="shared" si="5"/>
        <v>0</v>
      </c>
      <c r="M60" s="17"/>
    </row>
    <row r="61" spans="2:13">
      <c r="B61" s="16">
        <v>20</v>
      </c>
      <c r="C61" s="3">
        <v>0.4</v>
      </c>
      <c r="D61" s="1" t="s">
        <v>57</v>
      </c>
      <c r="E61" s="3" t="s">
        <v>23</v>
      </c>
      <c r="F61" s="3">
        <v>16</v>
      </c>
      <c r="G61" s="3">
        <v>0.1</v>
      </c>
      <c r="H61" s="3">
        <v>-0.1</v>
      </c>
      <c r="I61" s="3">
        <f t="shared" si="3"/>
        <v>16.100000000000001</v>
      </c>
      <c r="J61" s="3">
        <f t="shared" si="4"/>
        <v>15.9</v>
      </c>
      <c r="K61" s="5"/>
      <c r="L61" s="3">
        <f t="shared" si="5"/>
        <v>0</v>
      </c>
      <c r="M61" s="17"/>
    </row>
    <row r="62" spans="2:13">
      <c r="B62" s="16">
        <v>21</v>
      </c>
      <c r="C62" s="3">
        <v>0.4</v>
      </c>
      <c r="D62" s="1" t="s">
        <v>129</v>
      </c>
      <c r="E62" s="3" t="s">
        <v>23</v>
      </c>
      <c r="F62" s="3">
        <v>60</v>
      </c>
      <c r="G62" s="3">
        <v>0.1</v>
      </c>
      <c r="H62" s="3">
        <v>-0.1</v>
      </c>
      <c r="I62" s="3">
        <f t="shared" si="3"/>
        <v>60.1</v>
      </c>
      <c r="J62" s="3">
        <f t="shared" si="4"/>
        <v>59.9</v>
      </c>
      <c r="K62" s="5"/>
      <c r="L62" s="3">
        <f t="shared" si="5"/>
        <v>0</v>
      </c>
      <c r="M62" s="17"/>
    </row>
    <row r="63" spans="2:13" ht="14.25" thickBot="1">
      <c r="B63" s="26">
        <v>22</v>
      </c>
      <c r="C63" s="3">
        <v>0.4</v>
      </c>
      <c r="D63" s="1" t="s">
        <v>133</v>
      </c>
      <c r="E63" s="65" t="s">
        <v>134</v>
      </c>
      <c r="F63" s="3">
        <v>28</v>
      </c>
      <c r="G63" s="3">
        <v>0.1</v>
      </c>
      <c r="H63" s="3">
        <v>-0.1</v>
      </c>
      <c r="I63" s="3">
        <f>SUM(F63+G63)</f>
        <v>28.1</v>
      </c>
      <c r="J63" s="3">
        <f>SUM(F63+H63)</f>
        <v>27.9</v>
      </c>
      <c r="K63" s="9"/>
      <c r="L63" s="8">
        <v>0</v>
      </c>
      <c r="M63" s="31"/>
    </row>
    <row r="64" spans="2:13" ht="14.25" thickBot="1">
      <c r="B64" s="35" t="s">
        <v>49</v>
      </c>
      <c r="C64" s="36">
        <f>SUM(C42:C63)</f>
        <v>10.500000000000005</v>
      </c>
      <c r="D64" s="36"/>
      <c r="E64" s="36"/>
      <c r="F64" s="36"/>
      <c r="G64" s="36"/>
      <c r="H64" s="36"/>
      <c r="I64" s="36"/>
      <c r="J64" s="36"/>
      <c r="K64" s="37"/>
      <c r="L64" s="36">
        <f>SUM(L42:L63)</f>
        <v>0</v>
      </c>
      <c r="M64" s="38"/>
    </row>
    <row r="65" spans="2:23" ht="14.25" thickBot="1">
      <c r="B65" s="30"/>
      <c r="C65" s="11"/>
      <c r="D65" s="11"/>
      <c r="E65" s="11"/>
      <c r="F65" s="11"/>
      <c r="G65" s="11"/>
      <c r="H65" s="11"/>
      <c r="I65" s="11"/>
      <c r="J65" s="11"/>
      <c r="K65" s="29"/>
      <c r="L65" s="11"/>
      <c r="M65" s="11"/>
    </row>
    <row r="66" spans="2:23">
      <c r="B66" s="60" t="s">
        <v>31</v>
      </c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2"/>
    </row>
    <row r="67" spans="2:23">
      <c r="B67" s="16">
        <v>1</v>
      </c>
      <c r="C67" s="3">
        <v>0.8</v>
      </c>
      <c r="D67" s="3" t="s">
        <v>135</v>
      </c>
      <c r="E67" s="3" t="s">
        <v>12</v>
      </c>
      <c r="F67" s="3" t="s">
        <v>22</v>
      </c>
      <c r="G67" s="3">
        <v>0.8</v>
      </c>
      <c r="H67" s="6">
        <v>1E-8</v>
      </c>
      <c r="I67" s="3">
        <f t="shared" ref="I67:I72" si="6">SUM(G67)</f>
        <v>0.8</v>
      </c>
      <c r="J67" s="6">
        <f t="shared" ref="J67:J72" si="7">SUM(H67)</f>
        <v>1E-8</v>
      </c>
      <c r="K67" s="5"/>
      <c r="L67" s="3">
        <f t="shared" ref="L67:L72" si="8">IF(K67&gt;=(J67-M67),(IF(K67&lt;=(I67+M67),C67,0)),0)</f>
        <v>0</v>
      </c>
      <c r="M67" s="17"/>
    </row>
    <row r="68" spans="2:23">
      <c r="B68" s="16">
        <v>2</v>
      </c>
      <c r="C68" s="3">
        <v>0.7</v>
      </c>
      <c r="D68" s="3" t="s">
        <v>136</v>
      </c>
      <c r="E68" s="3" t="s">
        <v>12</v>
      </c>
      <c r="F68" s="3" t="s">
        <v>22</v>
      </c>
      <c r="G68" s="3">
        <v>0.8</v>
      </c>
      <c r="H68" s="6">
        <v>1E-8</v>
      </c>
      <c r="I68" s="3">
        <f t="shared" si="6"/>
        <v>0.8</v>
      </c>
      <c r="J68" s="6">
        <f t="shared" si="7"/>
        <v>1E-8</v>
      </c>
      <c r="K68" s="5"/>
      <c r="L68" s="3">
        <f t="shared" si="8"/>
        <v>0</v>
      </c>
      <c r="M68" s="17"/>
    </row>
    <row r="69" spans="2:23">
      <c r="B69" s="16">
        <v>3</v>
      </c>
      <c r="C69" s="3">
        <v>0.7</v>
      </c>
      <c r="D69" s="3" t="s">
        <v>165</v>
      </c>
      <c r="E69" s="3" t="s">
        <v>12</v>
      </c>
      <c r="F69" s="3" t="s">
        <v>22</v>
      </c>
      <c r="G69" s="3">
        <v>0.8</v>
      </c>
      <c r="H69" s="6">
        <v>1E-8</v>
      </c>
      <c r="I69" s="3">
        <f t="shared" si="6"/>
        <v>0.8</v>
      </c>
      <c r="J69" s="6">
        <f t="shared" si="7"/>
        <v>1E-8</v>
      </c>
      <c r="K69" s="5"/>
      <c r="L69" s="3">
        <f t="shared" si="8"/>
        <v>0</v>
      </c>
      <c r="M69" s="17"/>
    </row>
    <row r="70" spans="2:23">
      <c r="B70" s="16">
        <v>4</v>
      </c>
      <c r="C70" s="3">
        <v>0.7</v>
      </c>
      <c r="D70" s="3" t="s">
        <v>137</v>
      </c>
      <c r="E70" s="3" t="s">
        <v>12</v>
      </c>
      <c r="F70" s="3" t="s">
        <v>22</v>
      </c>
      <c r="G70" s="3">
        <v>0.8</v>
      </c>
      <c r="H70" s="6">
        <v>1E-8</v>
      </c>
      <c r="I70" s="3">
        <f t="shared" si="6"/>
        <v>0.8</v>
      </c>
      <c r="J70" s="6">
        <f t="shared" si="7"/>
        <v>1E-8</v>
      </c>
      <c r="K70" s="5"/>
      <c r="L70" s="3">
        <f t="shared" si="8"/>
        <v>0</v>
      </c>
      <c r="M70" s="17"/>
    </row>
    <row r="71" spans="2:23">
      <c r="B71" s="16">
        <v>5</v>
      </c>
      <c r="C71" s="3">
        <v>0.8</v>
      </c>
      <c r="D71" s="3" t="s">
        <v>138</v>
      </c>
      <c r="E71" s="3" t="s">
        <v>12</v>
      </c>
      <c r="F71" s="3" t="s">
        <v>22</v>
      </c>
      <c r="G71" s="3">
        <v>0.8</v>
      </c>
      <c r="H71" s="6">
        <v>1E-8</v>
      </c>
      <c r="I71" s="3">
        <f t="shared" si="6"/>
        <v>0.8</v>
      </c>
      <c r="J71" s="6">
        <f t="shared" si="7"/>
        <v>1E-8</v>
      </c>
      <c r="K71" s="5"/>
      <c r="L71" s="3">
        <f t="shared" si="8"/>
        <v>0</v>
      </c>
      <c r="M71" s="17"/>
    </row>
    <row r="72" spans="2:23">
      <c r="B72" s="16">
        <v>6</v>
      </c>
      <c r="C72" s="3">
        <v>0.8</v>
      </c>
      <c r="D72" s="3" t="s">
        <v>58</v>
      </c>
      <c r="E72" s="3" t="s">
        <v>12</v>
      </c>
      <c r="F72" s="3" t="s">
        <v>22</v>
      </c>
      <c r="G72" s="3">
        <v>0.8</v>
      </c>
      <c r="H72" s="6">
        <v>1E-8</v>
      </c>
      <c r="I72" s="3">
        <f t="shared" si="6"/>
        <v>0.8</v>
      </c>
      <c r="J72" s="6">
        <f t="shared" si="7"/>
        <v>1E-8</v>
      </c>
      <c r="K72" s="5"/>
      <c r="L72" s="3">
        <f t="shared" si="8"/>
        <v>0</v>
      </c>
      <c r="M72" s="17"/>
    </row>
    <row r="73" spans="2:23">
      <c r="B73" s="16"/>
      <c r="C73" s="3"/>
      <c r="D73" s="3"/>
      <c r="E73" s="3"/>
      <c r="F73" s="3"/>
      <c r="G73" s="3"/>
      <c r="H73" s="6"/>
      <c r="I73" s="3"/>
      <c r="J73" s="6"/>
      <c r="K73" s="5"/>
      <c r="L73" s="3"/>
      <c r="M73" s="17"/>
    </row>
    <row r="74" spans="2:23" ht="14.25" thickBot="1">
      <c r="B74" s="26"/>
      <c r="C74" s="3"/>
      <c r="D74" s="3"/>
      <c r="E74" s="3"/>
      <c r="F74" s="3"/>
      <c r="G74" s="3"/>
      <c r="H74" s="6"/>
      <c r="I74" s="3"/>
      <c r="J74" s="6"/>
      <c r="K74" s="5"/>
      <c r="L74" s="3"/>
      <c r="M74" s="31"/>
    </row>
    <row r="75" spans="2:23" ht="14.25" thickBot="1">
      <c r="B75" s="35" t="s">
        <v>50</v>
      </c>
      <c r="C75" s="36">
        <f>SUM(C67:C74)</f>
        <v>4.5</v>
      </c>
      <c r="D75" s="36"/>
      <c r="E75" s="36"/>
      <c r="F75" s="36"/>
      <c r="G75" s="36"/>
      <c r="H75" s="36"/>
      <c r="I75" s="36"/>
      <c r="J75" s="36"/>
      <c r="K75" s="37"/>
      <c r="L75" s="36">
        <f>SUM(L67:L74)</f>
        <v>0</v>
      </c>
      <c r="M75" s="38"/>
    </row>
    <row r="76" spans="2:23" ht="14.25" thickBot="1">
      <c r="B76" s="30"/>
      <c r="C76" s="11"/>
      <c r="D76" s="11"/>
      <c r="E76" s="11"/>
      <c r="F76" s="11"/>
      <c r="G76" s="11"/>
      <c r="H76" s="11"/>
      <c r="I76" s="11"/>
      <c r="J76" s="11"/>
      <c r="K76" s="29"/>
      <c r="L76" s="11"/>
      <c r="M76" s="11"/>
    </row>
    <row r="77" spans="2:23">
      <c r="B77" s="60" t="s">
        <v>32</v>
      </c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2"/>
    </row>
    <row r="78" spans="2:23">
      <c r="B78" s="16"/>
      <c r="C78" s="3"/>
      <c r="D78" s="3"/>
      <c r="E78" s="3"/>
      <c r="F78" s="3"/>
      <c r="G78" s="3">
        <v>1</v>
      </c>
      <c r="H78" s="3">
        <v>2</v>
      </c>
      <c r="I78" s="3">
        <v>3</v>
      </c>
      <c r="J78" s="3">
        <v>4</v>
      </c>
      <c r="K78" s="3">
        <v>5</v>
      </c>
      <c r="L78" s="3"/>
      <c r="M78" s="17"/>
    </row>
    <row r="79" spans="2:23">
      <c r="B79" s="16">
        <v>1</v>
      </c>
      <c r="C79" s="3">
        <v>2</v>
      </c>
      <c r="D79" s="96" t="s">
        <v>24</v>
      </c>
      <c r="E79" s="97"/>
      <c r="F79" s="98"/>
      <c r="G79" s="5"/>
      <c r="H79" s="5"/>
      <c r="I79" s="5"/>
      <c r="J79" s="5"/>
      <c r="K79" s="5"/>
      <c r="L79" s="3">
        <f t="shared" ref="L79:L84" si="9">SUM(C79*(W79-V79-U79)/30)</f>
        <v>0</v>
      </c>
      <c r="M79" s="17"/>
      <c r="O79">
        <f>SUM(10-G79)</f>
        <v>10</v>
      </c>
      <c r="P79">
        <f>SUM(10-H79)</f>
        <v>10</v>
      </c>
      <c r="Q79">
        <f t="shared" ref="Q79:S84" si="10">SUM(10-I79)</f>
        <v>10</v>
      </c>
      <c r="R79">
        <f t="shared" si="10"/>
        <v>10</v>
      </c>
      <c r="S79">
        <f t="shared" si="10"/>
        <v>10</v>
      </c>
      <c r="T79">
        <f t="shared" ref="T79:T84" si="11">MAX(O79:S79)</f>
        <v>10</v>
      </c>
      <c r="U79">
        <f t="shared" ref="U79:U84" si="12">SUM(10-T79)</f>
        <v>0</v>
      </c>
      <c r="V79">
        <f t="shared" ref="V79:V84" si="13">MAX(G79:K79)</f>
        <v>0</v>
      </c>
      <c r="W79">
        <f t="shared" ref="W79:W84" si="14">SUM(G79:K79)</f>
        <v>0</v>
      </c>
    </row>
    <row r="80" spans="2:23">
      <c r="B80" s="16">
        <v>2</v>
      </c>
      <c r="C80" s="3">
        <v>1</v>
      </c>
      <c r="D80" s="96" t="s">
        <v>25</v>
      </c>
      <c r="E80" s="97"/>
      <c r="F80" s="98"/>
      <c r="G80" s="5"/>
      <c r="H80" s="5"/>
      <c r="I80" s="5"/>
      <c r="J80" s="5"/>
      <c r="K80" s="5"/>
      <c r="L80" s="3">
        <f t="shared" si="9"/>
        <v>0</v>
      </c>
      <c r="M80" s="17"/>
      <c r="O80">
        <f t="shared" ref="O80:P84" si="15">SUM(10-G80)</f>
        <v>10</v>
      </c>
      <c r="P80">
        <f t="shared" si="15"/>
        <v>10</v>
      </c>
      <c r="Q80">
        <f t="shared" si="10"/>
        <v>10</v>
      </c>
      <c r="R80">
        <f t="shared" si="10"/>
        <v>10</v>
      </c>
      <c r="S80">
        <f t="shared" si="10"/>
        <v>10</v>
      </c>
      <c r="T80">
        <f t="shared" si="11"/>
        <v>10</v>
      </c>
      <c r="U80">
        <f t="shared" si="12"/>
        <v>0</v>
      </c>
      <c r="V80">
        <f t="shared" si="13"/>
        <v>0</v>
      </c>
      <c r="W80">
        <f t="shared" si="14"/>
        <v>0</v>
      </c>
    </row>
    <row r="81" spans="2:23">
      <c r="B81" s="16">
        <v>3</v>
      </c>
      <c r="C81" s="3">
        <v>1</v>
      </c>
      <c r="D81" s="96" t="s">
        <v>26</v>
      </c>
      <c r="E81" s="97"/>
      <c r="F81" s="98"/>
      <c r="G81" s="5"/>
      <c r="H81" s="5"/>
      <c r="I81" s="5"/>
      <c r="J81" s="5"/>
      <c r="K81" s="5"/>
      <c r="L81" s="3">
        <f t="shared" si="9"/>
        <v>0</v>
      </c>
      <c r="M81" s="17"/>
      <c r="O81">
        <f t="shared" si="15"/>
        <v>10</v>
      </c>
      <c r="P81">
        <f t="shared" si="15"/>
        <v>10</v>
      </c>
      <c r="Q81">
        <f t="shared" si="10"/>
        <v>10</v>
      </c>
      <c r="R81">
        <f t="shared" si="10"/>
        <v>10</v>
      </c>
      <c r="S81">
        <f t="shared" si="10"/>
        <v>10</v>
      </c>
      <c r="T81">
        <f t="shared" si="11"/>
        <v>10</v>
      </c>
      <c r="U81">
        <f t="shared" si="12"/>
        <v>0</v>
      </c>
      <c r="V81">
        <f t="shared" si="13"/>
        <v>0</v>
      </c>
      <c r="W81">
        <f t="shared" si="14"/>
        <v>0</v>
      </c>
    </row>
    <row r="82" spans="2:23">
      <c r="B82" s="16">
        <v>4</v>
      </c>
      <c r="C82" s="3">
        <v>2</v>
      </c>
      <c r="D82" s="96" t="s">
        <v>27</v>
      </c>
      <c r="E82" s="97"/>
      <c r="F82" s="98"/>
      <c r="G82" s="5"/>
      <c r="H82" s="5"/>
      <c r="I82" s="5"/>
      <c r="J82" s="5"/>
      <c r="K82" s="5"/>
      <c r="L82" s="3">
        <f t="shared" si="9"/>
        <v>0</v>
      </c>
      <c r="M82" s="17"/>
      <c r="O82">
        <f t="shared" si="15"/>
        <v>10</v>
      </c>
      <c r="P82">
        <f t="shared" si="15"/>
        <v>10</v>
      </c>
      <c r="Q82">
        <f t="shared" si="10"/>
        <v>10</v>
      </c>
      <c r="R82">
        <f t="shared" si="10"/>
        <v>10</v>
      </c>
      <c r="S82">
        <f t="shared" si="10"/>
        <v>10</v>
      </c>
      <c r="T82">
        <f t="shared" si="11"/>
        <v>10</v>
      </c>
      <c r="U82">
        <f t="shared" si="12"/>
        <v>0</v>
      </c>
      <c r="V82">
        <f t="shared" si="13"/>
        <v>0</v>
      </c>
      <c r="W82">
        <f t="shared" si="14"/>
        <v>0</v>
      </c>
    </row>
    <row r="83" spans="2:23">
      <c r="B83" s="22">
        <v>5</v>
      </c>
      <c r="C83" s="3">
        <v>2</v>
      </c>
      <c r="D83" s="96" t="s">
        <v>28</v>
      </c>
      <c r="E83" s="124"/>
      <c r="F83" s="125"/>
      <c r="G83" s="5"/>
      <c r="H83" s="5"/>
      <c r="I83" s="5"/>
      <c r="J83" s="5"/>
      <c r="K83" s="5"/>
      <c r="L83" s="3">
        <f t="shared" si="9"/>
        <v>0</v>
      </c>
      <c r="M83" s="17"/>
      <c r="O83">
        <f t="shared" si="15"/>
        <v>10</v>
      </c>
      <c r="P83">
        <f t="shared" si="15"/>
        <v>10</v>
      </c>
      <c r="Q83">
        <f t="shared" si="10"/>
        <v>10</v>
      </c>
      <c r="R83">
        <f t="shared" si="10"/>
        <v>10</v>
      </c>
      <c r="S83">
        <f t="shared" si="10"/>
        <v>10</v>
      </c>
      <c r="T83">
        <f t="shared" si="11"/>
        <v>10</v>
      </c>
      <c r="U83">
        <f t="shared" si="12"/>
        <v>0</v>
      </c>
      <c r="V83">
        <f t="shared" si="13"/>
        <v>0</v>
      </c>
      <c r="W83">
        <f t="shared" si="14"/>
        <v>0</v>
      </c>
    </row>
    <row r="84" spans="2:23">
      <c r="B84" s="22">
        <v>6</v>
      </c>
      <c r="C84" s="3"/>
      <c r="D84" s="101"/>
      <c r="E84" s="97"/>
      <c r="F84" s="98"/>
      <c r="G84" s="9"/>
      <c r="H84" s="9"/>
      <c r="I84" s="9"/>
      <c r="J84" s="9"/>
      <c r="K84" s="9"/>
      <c r="L84" s="3">
        <f t="shared" si="9"/>
        <v>0</v>
      </c>
      <c r="M84" s="17"/>
      <c r="O84">
        <f t="shared" si="15"/>
        <v>10</v>
      </c>
      <c r="P84">
        <f t="shared" si="15"/>
        <v>10</v>
      </c>
      <c r="Q84">
        <f t="shared" si="10"/>
        <v>10</v>
      </c>
      <c r="R84">
        <f t="shared" si="10"/>
        <v>10</v>
      </c>
      <c r="S84">
        <f t="shared" si="10"/>
        <v>10</v>
      </c>
      <c r="T84">
        <f t="shared" si="11"/>
        <v>10</v>
      </c>
      <c r="U84">
        <f t="shared" si="12"/>
        <v>0</v>
      </c>
      <c r="V84">
        <f t="shared" si="13"/>
        <v>0</v>
      </c>
      <c r="W84">
        <f t="shared" si="14"/>
        <v>0</v>
      </c>
    </row>
    <row r="85" spans="2:23">
      <c r="B85" s="22"/>
      <c r="C85" s="3"/>
      <c r="D85" s="116"/>
      <c r="E85" s="67"/>
      <c r="F85" s="67"/>
      <c r="G85" s="132" t="s">
        <v>51</v>
      </c>
      <c r="H85" s="132" t="s">
        <v>51</v>
      </c>
      <c r="I85" s="132" t="s">
        <v>51</v>
      </c>
      <c r="J85" s="132" t="s">
        <v>51</v>
      </c>
      <c r="K85" s="132" t="s">
        <v>52</v>
      </c>
      <c r="L85" s="3"/>
      <c r="M85" s="17"/>
    </row>
    <row r="86" spans="2:23">
      <c r="B86" s="22"/>
      <c r="C86" s="3"/>
      <c r="D86" s="67"/>
      <c r="E86" s="67"/>
      <c r="F86" s="67"/>
      <c r="G86" s="133"/>
      <c r="H86" s="133"/>
      <c r="I86" s="133"/>
      <c r="J86" s="133"/>
      <c r="K86" s="133"/>
      <c r="L86" s="3"/>
      <c r="M86" s="18"/>
    </row>
    <row r="87" spans="2:23">
      <c r="B87" s="22"/>
      <c r="C87" s="3"/>
      <c r="D87" s="67"/>
      <c r="E87" s="67"/>
      <c r="F87" s="67"/>
      <c r="G87" s="133"/>
      <c r="H87" s="133"/>
      <c r="I87" s="133"/>
      <c r="J87" s="133"/>
      <c r="K87" s="133"/>
      <c r="L87" s="3"/>
      <c r="M87" s="18"/>
    </row>
    <row r="88" spans="2:23">
      <c r="B88" s="22"/>
      <c r="C88" s="3"/>
      <c r="D88" s="67"/>
      <c r="E88" s="67"/>
      <c r="F88" s="67"/>
      <c r="G88" s="133"/>
      <c r="H88" s="133"/>
      <c r="I88" s="133"/>
      <c r="J88" s="133"/>
      <c r="K88" s="133"/>
      <c r="L88" s="3"/>
      <c r="M88" s="18"/>
    </row>
    <row r="89" spans="2:23">
      <c r="B89" s="22"/>
      <c r="C89" s="3"/>
      <c r="D89" s="67"/>
      <c r="E89" s="67"/>
      <c r="F89" s="67"/>
      <c r="G89" s="133"/>
      <c r="H89" s="133"/>
      <c r="I89" s="133"/>
      <c r="J89" s="133"/>
      <c r="K89" s="133"/>
      <c r="L89" s="3"/>
      <c r="M89" s="18"/>
    </row>
    <row r="90" spans="2:23" ht="14.25" thickBot="1">
      <c r="B90" s="28"/>
      <c r="C90" s="8"/>
      <c r="D90" s="117"/>
      <c r="E90" s="117"/>
      <c r="F90" s="117"/>
      <c r="G90" s="134"/>
      <c r="H90" s="134"/>
      <c r="I90" s="134"/>
      <c r="J90" s="134"/>
      <c r="K90" s="134"/>
      <c r="L90" s="8"/>
      <c r="M90" s="40"/>
    </row>
    <row r="91" spans="2:23" ht="14.25" thickBot="1">
      <c r="B91" s="41" t="s">
        <v>49</v>
      </c>
      <c r="C91" s="39">
        <f>SUM(C79:C90)</f>
        <v>8</v>
      </c>
      <c r="D91" s="36"/>
      <c r="E91" s="36"/>
      <c r="F91" s="36"/>
      <c r="G91" s="36"/>
      <c r="H91" s="36"/>
      <c r="I91" s="36"/>
      <c r="J91" s="36"/>
      <c r="K91" s="36"/>
      <c r="L91" s="39">
        <f>SUM(L79:L90)</f>
        <v>0</v>
      </c>
      <c r="M91" s="42"/>
    </row>
    <row r="92" spans="2:23" ht="14.25" thickBot="1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3"/>
    </row>
    <row r="93" spans="2:23">
      <c r="B93" s="60" t="s">
        <v>33</v>
      </c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2"/>
    </row>
    <row r="94" spans="2:23" ht="14.25" thickBot="1">
      <c r="B94" s="26">
        <v>1</v>
      </c>
      <c r="C94" s="8">
        <v>2</v>
      </c>
      <c r="D94" s="135" t="s">
        <v>34</v>
      </c>
      <c r="E94" s="136"/>
      <c r="F94" s="137"/>
      <c r="G94" s="8"/>
      <c r="H94" s="8"/>
      <c r="I94" s="8"/>
      <c r="J94" s="8"/>
      <c r="K94" s="9"/>
      <c r="L94" s="8">
        <f>IF(K94=0,C94,(K94-1)*(-C94))</f>
        <v>2</v>
      </c>
      <c r="M94" s="31"/>
    </row>
    <row r="95" spans="2:23" s="13" customFormat="1" ht="14.25" thickBot="1">
      <c r="B95" s="43" t="s">
        <v>49</v>
      </c>
      <c r="C95" s="39">
        <f>SUM(C94)</f>
        <v>2</v>
      </c>
      <c r="D95" s="44"/>
      <c r="E95" s="44"/>
      <c r="F95" s="44"/>
      <c r="G95" s="45"/>
      <c r="H95" s="45"/>
      <c r="I95" s="45"/>
      <c r="J95" s="45"/>
      <c r="K95" s="45"/>
      <c r="L95" s="39">
        <f>SUM(L94)</f>
        <v>2</v>
      </c>
      <c r="M95" s="42"/>
    </row>
    <row r="96" spans="2:23" s="13" customFormat="1" ht="14.25" thickBot="1">
      <c r="B96" s="11"/>
      <c r="C96" s="11"/>
      <c r="G96" s="14"/>
      <c r="H96" s="14"/>
      <c r="I96" s="14"/>
      <c r="J96" s="14"/>
      <c r="K96" s="14"/>
      <c r="L96" s="11"/>
    </row>
    <row r="97" spans="2:13" ht="14.25" thickBot="1">
      <c r="B97" s="43"/>
      <c r="C97" s="39"/>
      <c r="D97" s="102"/>
      <c r="E97" s="103"/>
      <c r="F97" s="103"/>
      <c r="G97" s="103"/>
      <c r="H97" s="103"/>
      <c r="I97" s="104"/>
      <c r="J97" s="102" t="s">
        <v>35</v>
      </c>
      <c r="K97" s="104"/>
      <c r="L97" s="102" t="s">
        <v>36</v>
      </c>
      <c r="M97" s="141"/>
    </row>
    <row r="98" spans="2:13">
      <c r="B98" s="27"/>
      <c r="C98" s="12"/>
      <c r="D98" s="118" t="s">
        <v>37</v>
      </c>
      <c r="E98" s="119"/>
      <c r="F98" s="119"/>
      <c r="G98" s="119"/>
      <c r="H98" s="119"/>
      <c r="I98" s="120"/>
      <c r="J98" s="99"/>
      <c r="K98" s="143"/>
      <c r="L98" s="99"/>
      <c r="M98" s="100"/>
    </row>
    <row r="99" spans="2:13">
      <c r="B99" s="16"/>
      <c r="C99" s="3"/>
      <c r="D99" s="121" t="s">
        <v>38</v>
      </c>
      <c r="E99" s="122"/>
      <c r="F99" s="122"/>
      <c r="G99" s="122"/>
      <c r="H99" s="122"/>
      <c r="I99" s="123"/>
      <c r="J99" s="138"/>
      <c r="K99" s="139"/>
      <c r="L99" s="138"/>
      <c r="M99" s="142"/>
    </row>
    <row r="100" spans="2:13">
      <c r="B100" s="16"/>
      <c r="C100" s="3"/>
      <c r="D100" s="121" t="s">
        <v>39</v>
      </c>
      <c r="E100" s="122"/>
      <c r="F100" s="122"/>
      <c r="G100" s="122"/>
      <c r="H100" s="122"/>
      <c r="I100" s="123"/>
      <c r="J100" s="138"/>
      <c r="K100" s="139"/>
      <c r="L100" s="138"/>
      <c r="M100" s="142"/>
    </row>
    <row r="101" spans="2:13" ht="14.25" thickBot="1">
      <c r="B101" s="20"/>
      <c r="C101" s="21"/>
      <c r="D101" s="129" t="s">
        <v>40</v>
      </c>
      <c r="E101" s="130"/>
      <c r="F101" s="130"/>
      <c r="G101" s="130"/>
      <c r="H101" s="130"/>
      <c r="I101" s="131"/>
      <c r="J101" s="127"/>
      <c r="K101" s="128"/>
      <c r="L101" s="127"/>
      <c r="M101" s="140"/>
    </row>
  </sheetData>
  <protectedRanges>
    <protectedRange sqref="K94" name="区域5"/>
    <protectedRange sqref="G79:K90" name="区域4"/>
    <protectedRange sqref="K67:K74" name="区域3"/>
    <protectedRange sqref="K42:K63" name="区域2"/>
    <protectedRange sqref="K8:K33" name="区域1"/>
  </protectedRanges>
  <mergeCells count="39">
    <mergeCell ref="G4:H4"/>
    <mergeCell ref="D80:F80"/>
    <mergeCell ref="D81:F81"/>
    <mergeCell ref="D84:F84"/>
    <mergeCell ref="B4:D4"/>
    <mergeCell ref="E4:F4"/>
    <mergeCell ref="B1:M2"/>
    <mergeCell ref="B3:D3"/>
    <mergeCell ref="E3:F3"/>
    <mergeCell ref="G3:H3"/>
    <mergeCell ref="I3:J3"/>
    <mergeCell ref="L3:M3"/>
    <mergeCell ref="L4:M4"/>
    <mergeCell ref="L101:M101"/>
    <mergeCell ref="D99:I99"/>
    <mergeCell ref="J99:K99"/>
    <mergeCell ref="L99:M99"/>
    <mergeCell ref="J98:K98"/>
    <mergeCell ref="H85:H90"/>
    <mergeCell ref="D97:I97"/>
    <mergeCell ref="J97:K97"/>
    <mergeCell ref="I4:J4"/>
    <mergeCell ref="J101:K101"/>
    <mergeCell ref="D100:I100"/>
    <mergeCell ref="J100:K100"/>
    <mergeCell ref="G85:G90"/>
    <mergeCell ref="I85:I90"/>
    <mergeCell ref="D101:I101"/>
    <mergeCell ref="J85:J90"/>
    <mergeCell ref="L100:M100"/>
    <mergeCell ref="K85:K90"/>
    <mergeCell ref="D79:F79"/>
    <mergeCell ref="L98:M98"/>
    <mergeCell ref="D94:F94"/>
    <mergeCell ref="D98:I98"/>
    <mergeCell ref="L97:M97"/>
    <mergeCell ref="D85:F90"/>
    <mergeCell ref="D82:F82"/>
    <mergeCell ref="D83:F83"/>
  </mergeCells>
  <phoneticPr fontId="4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90" orientation="portrait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3</vt:i4>
      </vt:variant>
    </vt:vector>
  </HeadingPairs>
  <TitlesOfParts>
    <vt:vector size="6" baseType="lpstr">
      <vt:lpstr>成绩单</vt:lpstr>
      <vt:lpstr>MOD1-评分表</vt:lpstr>
      <vt:lpstr>MOD2-评分表</vt:lpstr>
      <vt:lpstr>'MOD1-评分表'!Print_Area</vt:lpstr>
      <vt:lpstr>'MOD2-评分表'!Print_Area</vt:lpstr>
      <vt:lpstr>成绩单!Print_Area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LHX</dc:creator>
  <cp:lastModifiedBy>Administrator</cp:lastModifiedBy>
  <cp:lastPrinted>2013-12-23T15:38:43Z</cp:lastPrinted>
  <dcterms:created xsi:type="dcterms:W3CDTF">2013-12-23T13:02:11Z</dcterms:created>
  <dcterms:modified xsi:type="dcterms:W3CDTF">2014-05-26T01:29:27Z</dcterms:modified>
</cp:coreProperties>
</file>