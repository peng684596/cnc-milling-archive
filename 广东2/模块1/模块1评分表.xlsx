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8840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0">成绩单!$A$1:L47</definedName>
    <definedName name="_xlnm.Print_Area" localSheetId="1">'MOD1-评分表'!$B$1:M104</definedName>
    <definedName name="_xlnm.Print_Area" localSheetId="2">'MOD2-评分表'!$B$1:M91</definedName>
  </definedNames>
  <calcPr calcId="144525"/>
</workbook>
</file>

<file path=xl/sharedStrings.xml><?xml version="1.0" encoding="utf-8"?>
<sst xmlns="http://schemas.openxmlformats.org/spreadsheetml/2006/main" count="122">
  <si>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</si>
  <si>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</si>
  <si>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</si>
  <si>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</si>
  <si>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</si>
  <si>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</si>
  <si>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</si>
  <si>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</si>
  <si>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</si>
  <si>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</si>
  <si>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</si>
  <si>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</si>
  <si>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</si>
  <si>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</si>
  <si>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</si>
  <si>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</si>
  <si>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</si>
  <si>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</si>
  <si>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</si>
  <si>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</si>
  <si>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</si>
  <si>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</si>
  <si>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</si>
  <si>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</si>
  <si>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</si>
  <si>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</si>
  <si>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</si>
  <si>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</si>
  <si>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</si>
  <si>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</si>
  <si>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</si>
  <si>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</si>
  <si>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</si>
  <si>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</si>
  <si>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</si>
  <si>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</si>
  <si>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</si>
  <si>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</si>
  <si>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</si>
  <si>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</si>
  <si>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</si>
  <si>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</si>
  <si>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</si>
  <si>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</si>
  <si>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</si>
  <si>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</si>
  <si>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</si>
  <si>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</si>
  <si>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</si>
  <si>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</si>
  <si>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</si>
  <si>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</si>
  <si>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</si>
  <si>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</si>
  <si>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</si>
  <si>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</si>
  <si>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</si>
  <si>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</si>
  <si>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</si>
  <si>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</si>
  <si>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</si>
  <si>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</si>
  <si>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</si>
  <si>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</si>
  <si>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</si>
  <si>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</si>
  <si>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</si>
  <si>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</si>
  <si>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</si>
  <si>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</si>
  <si>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</si>
  <si>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</si>
  <si>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</si>
  <si>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</si>
  <si>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</si>
  <si>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</si>
  <si>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</si>
  <si>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</si>
  <si>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</si>
  <si>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</si>
  <si>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</si>
  <si>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</si>
  <si>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</si>
  <si>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</si>
  <si>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</si>
  <si>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</si>
  <si>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</si>
  <si>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</si>
  <si>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</si>
  <si>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</si>
  <si>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</si>
  <si>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</si>
  <si>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</si>
  <si>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</si>
  <si>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</si>
  <si>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</si>
  <si>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</si>
  <si>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</si>
  <si>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</si>
  <si>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</si>
  <si>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</si>
  <si>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</si>
  <si>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</si>
  <si>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</si>
  <si>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</si>
  <si>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</si>
  <si>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</si>
  <si>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</si>
  <si>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</si>
  <si>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</si>
  <si>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修正值</t>
  </si>
  <si>
    <t>E9</t>
  </si>
  <si>
    <t>B9</t>
  </si>
  <si>
    <t>B10</t>
  </si>
  <si>
    <t>B8</t>
  </si>
  <si>
    <t>B5</t>
  </si>
  <si>
    <t>C7</t>
  </si>
  <si>
    <t>M42X1.5/12+2</t>
  </si>
  <si>
    <t>M10/10+2</t>
  </si>
  <si>
    <t>A2</t>
  </si>
  <si>
    <t>E7</t>
  </si>
  <si>
    <t>E8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</si>
</sst>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</numFmts>
  <fonts count="10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family val="2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76" fontId="2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2" borderId="27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28" xfId="0" applyBorder="1">
      <alignment vertical="center"/>
    </xf>
    <xf numFmtId="0" fontId="0" fillId="0" borderId="30" xfId="0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right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7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21" xfId="0" applyBorder="1">
      <alignment vertical="center"/>
    </xf>
    <xf numFmtId="0" fontId="0" fillId="0" borderId="50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51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23"/>
    </row>
    <row r="2" ht="16.5" customHeight="1" spans="1:12">
      <c r="A2" s="102"/>
      <c r="B2" s="103" t="s">
        <v>0</v>
      </c>
      <c r="C2" s="104"/>
      <c r="D2" s="104"/>
      <c r="E2" s="104"/>
      <c r="F2" s="104"/>
      <c r="G2" s="104"/>
      <c r="H2" s="104"/>
      <c r="I2" s="104"/>
      <c r="J2" s="104"/>
      <c r="K2" s="104"/>
      <c r="L2" s="124"/>
    </row>
    <row r="3" ht="16.5" customHeight="1" spans="1:12">
      <c r="A3" s="102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24"/>
    </row>
    <row r="4" ht="16.5" customHeight="1" spans="1:12">
      <c r="A4" s="102"/>
      <c r="B4" s="10" t="s">
        <v>1</v>
      </c>
      <c r="C4" s="8"/>
      <c r="D4" s="9"/>
      <c r="E4" s="105"/>
      <c r="F4" s="106"/>
      <c r="G4" s="107" t="s">
        <v>2</v>
      </c>
      <c r="H4" s="107"/>
      <c r="I4" s="125"/>
      <c r="J4" s="126"/>
      <c r="K4" s="127"/>
      <c r="L4" s="124"/>
    </row>
    <row r="5" ht="16.5" customHeight="1" spans="1:12">
      <c r="A5" s="102"/>
      <c r="B5" s="10" t="s">
        <v>3</v>
      </c>
      <c r="C5" s="8"/>
      <c r="D5" s="9"/>
      <c r="E5" s="105"/>
      <c r="F5" s="106"/>
      <c r="G5" s="107"/>
      <c r="H5" s="107"/>
      <c r="I5" s="125"/>
      <c r="J5" s="126"/>
      <c r="K5" s="127"/>
      <c r="L5" s="124"/>
    </row>
    <row r="6" spans="1:12">
      <c r="A6" s="102"/>
      <c r="B6" s="1"/>
      <c r="C6" s="1"/>
      <c r="D6" s="1"/>
      <c r="E6" s="1"/>
      <c r="F6" s="1"/>
      <c r="G6" s="1"/>
      <c r="H6" s="1"/>
      <c r="I6" s="1"/>
      <c r="J6" s="1"/>
      <c r="K6" s="1"/>
      <c r="L6" s="124"/>
    </row>
    <row r="7" spans="1:12">
      <c r="A7" s="102"/>
      <c r="B7" s="108" t="s">
        <v>4</v>
      </c>
      <c r="C7" s="109"/>
      <c r="D7" s="110" t="s">
        <v>5</v>
      </c>
      <c r="E7" s="109"/>
      <c r="F7" s="111"/>
      <c r="G7" s="110" t="s">
        <v>6</v>
      </c>
      <c r="H7" s="109"/>
      <c r="I7" s="109"/>
      <c r="J7" s="111"/>
      <c r="K7" s="110" t="s">
        <v>7</v>
      </c>
      <c r="L7" s="124"/>
    </row>
    <row r="8" spans="1:12">
      <c r="A8" s="102"/>
      <c r="B8" s="109"/>
      <c r="C8" s="109"/>
      <c r="D8" s="109"/>
      <c r="E8" s="109"/>
      <c r="F8" s="111"/>
      <c r="G8" s="109" t="s">
        <v>8</v>
      </c>
      <c r="H8" s="109" t="s">
        <v>9</v>
      </c>
      <c r="I8" s="109" t="s">
        <v>10</v>
      </c>
      <c r="J8" s="111"/>
      <c r="K8" s="109"/>
      <c r="L8" s="124"/>
    </row>
    <row r="9" spans="1:12">
      <c r="A9" s="102"/>
      <c r="B9" s="20" t="s">
        <v>11</v>
      </c>
      <c r="C9" s="20">
        <v>1</v>
      </c>
      <c r="D9" s="20" t="s">
        <v>12</v>
      </c>
      <c r="E9" s="20"/>
      <c r="F9" s="112" t="s">
        <v>13</v>
      </c>
      <c r="G9" s="20">
        <v>18</v>
      </c>
      <c r="H9" s="20"/>
      <c r="I9" s="20"/>
      <c r="J9" s="128"/>
      <c r="K9" s="128"/>
      <c r="L9" s="124"/>
    </row>
    <row r="10" spans="1:12">
      <c r="A10" s="102"/>
      <c r="B10" s="20"/>
      <c r="C10" s="20"/>
      <c r="D10" s="20"/>
      <c r="E10" s="20"/>
      <c r="F10" s="112" t="s">
        <v>14</v>
      </c>
      <c r="G10" s="20">
        <f>SUM('MOD1-评分表'!L41)</f>
        <v>0</v>
      </c>
      <c r="H10" s="20"/>
      <c r="I10" s="20"/>
      <c r="J10" s="128"/>
      <c r="K10" s="20">
        <f t="shared" ref="K10:K14" si="0">SUM(G10:J10)</f>
        <v>0</v>
      </c>
      <c r="L10" s="124"/>
    </row>
    <row r="11" spans="1:12">
      <c r="A11" s="102"/>
      <c r="B11" s="20" t="s">
        <v>11</v>
      </c>
      <c r="C11" s="20">
        <v>2</v>
      </c>
      <c r="D11" s="20" t="s">
        <v>15</v>
      </c>
      <c r="E11" s="20"/>
      <c r="F11" s="112" t="s">
        <v>13</v>
      </c>
      <c r="G11" s="20"/>
      <c r="H11" s="20">
        <v>18</v>
      </c>
      <c r="I11" s="20"/>
      <c r="J11" s="128"/>
      <c r="K11" s="128"/>
      <c r="L11" s="124"/>
    </row>
    <row r="12" spans="1:12">
      <c r="A12" s="102"/>
      <c r="B12" s="20"/>
      <c r="C12" s="20"/>
      <c r="D12" s="20"/>
      <c r="E12" s="20"/>
      <c r="F12" s="112" t="s">
        <v>14</v>
      </c>
      <c r="G12" s="20"/>
      <c r="H12" s="20">
        <f>SUM('MOD2-评分表'!L31)</f>
        <v>0</v>
      </c>
      <c r="I12" s="20"/>
      <c r="J12" s="128"/>
      <c r="K12" s="20">
        <f>SUM(G12:J12)</f>
        <v>0</v>
      </c>
      <c r="L12" s="124"/>
    </row>
    <row r="13" spans="1:12">
      <c r="A13" s="102"/>
      <c r="B13" s="20" t="s">
        <v>11</v>
      </c>
      <c r="C13" s="20">
        <v>3</v>
      </c>
      <c r="D13" s="20" t="s">
        <v>16</v>
      </c>
      <c r="E13" s="20"/>
      <c r="F13" s="112" t="s">
        <v>13</v>
      </c>
      <c r="G13" s="20"/>
      <c r="H13" s="20"/>
      <c r="I13" s="20">
        <v>18</v>
      </c>
      <c r="J13" s="128"/>
      <c r="K13" s="128"/>
      <c r="L13" s="124"/>
    </row>
    <row r="14" spans="1:12">
      <c r="A14" s="102"/>
      <c r="B14" s="20"/>
      <c r="C14" s="20"/>
      <c r="D14" s="20"/>
      <c r="E14" s="20"/>
      <c r="F14" s="112" t="s">
        <v>14</v>
      </c>
      <c r="G14" s="20"/>
      <c r="H14" s="20"/>
      <c r="I14" s="20"/>
      <c r="J14" s="128"/>
      <c r="K14" s="20">
        <f>SUM(G14:J14)</f>
        <v>0</v>
      </c>
      <c r="L14" s="124"/>
    </row>
    <row r="15" spans="1:12">
      <c r="A15" s="102"/>
      <c r="B15" s="20" t="s">
        <v>17</v>
      </c>
      <c r="C15" s="20">
        <v>1</v>
      </c>
      <c r="D15" s="20" t="s">
        <v>18</v>
      </c>
      <c r="E15" s="20"/>
      <c r="F15" s="112" t="s">
        <v>13</v>
      </c>
      <c r="G15" s="20">
        <v>7</v>
      </c>
      <c r="H15" s="20"/>
      <c r="I15" s="20"/>
      <c r="J15" s="128"/>
      <c r="K15" s="128"/>
      <c r="L15" s="124"/>
    </row>
    <row r="16" spans="1:12">
      <c r="A16" s="102"/>
      <c r="B16" s="20"/>
      <c r="C16" s="20"/>
      <c r="D16" s="20"/>
      <c r="E16" s="20"/>
      <c r="F16" s="112" t="s">
        <v>14</v>
      </c>
      <c r="G16" s="20">
        <f>SUM('MOD1-评分表'!L67)</f>
        <v>0</v>
      </c>
      <c r="H16" s="20"/>
      <c r="I16" s="20"/>
      <c r="J16" s="128"/>
      <c r="K16" s="20">
        <f t="shared" ref="K16:K20" si="1">SUM(G16:J16)</f>
        <v>0</v>
      </c>
      <c r="L16" s="124"/>
    </row>
    <row r="17" spans="1:12">
      <c r="A17" s="102"/>
      <c r="B17" s="20" t="s">
        <v>17</v>
      </c>
      <c r="C17" s="20">
        <v>2</v>
      </c>
      <c r="D17" s="20" t="s">
        <v>19</v>
      </c>
      <c r="E17" s="20"/>
      <c r="F17" s="112" t="s">
        <v>13</v>
      </c>
      <c r="G17" s="20"/>
      <c r="H17" s="20">
        <v>7</v>
      </c>
      <c r="I17" s="20"/>
      <c r="J17" s="128"/>
      <c r="K17" s="128"/>
      <c r="L17" s="124"/>
    </row>
    <row r="18" spans="1:12">
      <c r="A18" s="102"/>
      <c r="B18" s="20"/>
      <c r="C18" s="20"/>
      <c r="D18" s="20"/>
      <c r="E18" s="20"/>
      <c r="F18" s="112" t="s">
        <v>14</v>
      </c>
      <c r="G18" s="20"/>
      <c r="H18" s="20">
        <f>SUM('MOD2-评分表'!L54)</f>
        <v>0</v>
      </c>
      <c r="I18" s="20"/>
      <c r="J18" s="128"/>
      <c r="K18" s="20">
        <f>SUM(G18:J18)</f>
        <v>0</v>
      </c>
      <c r="L18" s="124"/>
    </row>
    <row r="19" spans="1:12">
      <c r="A19" s="102"/>
      <c r="B19" s="20" t="s">
        <v>17</v>
      </c>
      <c r="C19" s="20">
        <v>3</v>
      </c>
      <c r="D19" s="20" t="s">
        <v>20</v>
      </c>
      <c r="E19" s="20"/>
      <c r="F19" s="112" t="s">
        <v>13</v>
      </c>
      <c r="G19" s="20"/>
      <c r="H19" s="20"/>
      <c r="I19" s="20">
        <v>7</v>
      </c>
      <c r="J19" s="128"/>
      <c r="K19" s="128"/>
      <c r="L19" s="124"/>
    </row>
    <row r="20" spans="1:12">
      <c r="A20" s="102"/>
      <c r="B20" s="20"/>
      <c r="C20" s="20"/>
      <c r="D20" s="20"/>
      <c r="E20" s="20"/>
      <c r="F20" s="112" t="s">
        <v>14</v>
      </c>
      <c r="G20" s="20"/>
      <c r="H20" s="20"/>
      <c r="I20" s="20"/>
      <c r="J20" s="128"/>
      <c r="K20" s="20">
        <f>SUM(G20:J20)</f>
        <v>0</v>
      </c>
      <c r="L20" s="124"/>
    </row>
    <row r="21" spans="1:12">
      <c r="A21" s="102"/>
      <c r="B21" s="20" t="s">
        <v>21</v>
      </c>
      <c r="C21" s="20">
        <v>1</v>
      </c>
      <c r="D21" s="20" t="s">
        <v>22</v>
      </c>
      <c r="E21" s="20"/>
      <c r="F21" s="112" t="s">
        <v>13</v>
      </c>
      <c r="G21" s="20">
        <v>3</v>
      </c>
      <c r="H21" s="20"/>
      <c r="I21" s="20"/>
      <c r="J21" s="128"/>
      <c r="K21" s="128"/>
      <c r="L21" s="124"/>
    </row>
    <row r="22" spans="1:12">
      <c r="A22" s="102"/>
      <c r="B22" s="20"/>
      <c r="C22" s="20"/>
      <c r="D22" s="20"/>
      <c r="E22" s="20"/>
      <c r="F22" s="112" t="s">
        <v>14</v>
      </c>
      <c r="G22" s="20">
        <f>SUM('MOD1-评分表'!L78)</f>
        <v>0</v>
      </c>
      <c r="H22" s="20"/>
      <c r="I22" s="20"/>
      <c r="J22" s="128"/>
      <c r="K22" s="20">
        <f t="shared" ref="K22:K26" si="2">SUM(G22:J22)</f>
        <v>0</v>
      </c>
      <c r="L22" s="124"/>
    </row>
    <row r="23" spans="1:12">
      <c r="A23" s="102"/>
      <c r="B23" s="20" t="s">
        <v>21</v>
      </c>
      <c r="C23" s="20">
        <v>2</v>
      </c>
      <c r="D23" s="20" t="s">
        <v>23</v>
      </c>
      <c r="E23" s="20"/>
      <c r="F23" s="112" t="s">
        <v>13</v>
      </c>
      <c r="G23" s="20"/>
      <c r="H23" s="20">
        <v>3</v>
      </c>
      <c r="I23" s="20"/>
      <c r="J23" s="128"/>
      <c r="K23" s="128"/>
      <c r="L23" s="124"/>
    </row>
    <row r="24" spans="1:12">
      <c r="A24" s="102"/>
      <c r="B24" s="20"/>
      <c r="C24" s="20"/>
      <c r="D24" s="20"/>
      <c r="E24" s="20"/>
      <c r="F24" s="112" t="s">
        <v>14</v>
      </c>
      <c r="G24" s="20"/>
      <c r="H24" s="20">
        <f>SUM('MOD2-评分表'!L65)</f>
        <v>0</v>
      </c>
      <c r="I24" s="20"/>
      <c r="J24" s="128"/>
      <c r="K24" s="20">
        <f>SUM(G24:J24)</f>
        <v>0</v>
      </c>
      <c r="L24" s="124"/>
    </row>
    <row r="25" spans="1:12">
      <c r="A25" s="102"/>
      <c r="B25" s="20" t="s">
        <v>21</v>
      </c>
      <c r="C25" s="20">
        <v>3</v>
      </c>
      <c r="D25" s="20" t="s">
        <v>24</v>
      </c>
      <c r="E25" s="20"/>
      <c r="F25" s="112" t="s">
        <v>13</v>
      </c>
      <c r="G25" s="20"/>
      <c r="H25" s="20"/>
      <c r="I25" s="20">
        <v>3</v>
      </c>
      <c r="J25" s="128"/>
      <c r="K25" s="128"/>
      <c r="L25" s="124"/>
    </row>
    <row r="26" spans="1:12">
      <c r="A26" s="102"/>
      <c r="B26" s="20"/>
      <c r="C26" s="20"/>
      <c r="D26" s="20"/>
      <c r="E26" s="20"/>
      <c r="F26" s="112" t="s">
        <v>14</v>
      </c>
      <c r="G26" s="20"/>
      <c r="H26" s="20"/>
      <c r="I26" s="20"/>
      <c r="J26" s="128"/>
      <c r="K26" s="20">
        <f>SUM(G26:J26)</f>
        <v>0</v>
      </c>
      <c r="L26" s="124"/>
    </row>
    <row r="27" spans="1:12">
      <c r="A27" s="102"/>
      <c r="B27" s="20" t="s">
        <v>25</v>
      </c>
      <c r="C27" s="20">
        <v>1</v>
      </c>
      <c r="D27" s="20" t="s">
        <v>26</v>
      </c>
      <c r="E27" s="20"/>
      <c r="F27" s="112" t="s">
        <v>13</v>
      </c>
      <c r="G27" s="20">
        <v>3.3</v>
      </c>
      <c r="H27" s="20"/>
      <c r="I27" s="20"/>
      <c r="J27" s="128"/>
      <c r="K27" s="128"/>
      <c r="L27" s="124"/>
    </row>
    <row r="28" spans="1:12">
      <c r="A28" s="102"/>
      <c r="B28" s="20"/>
      <c r="C28" s="20"/>
      <c r="D28" s="20"/>
      <c r="E28" s="20"/>
      <c r="F28" s="112" t="s">
        <v>14</v>
      </c>
      <c r="G28" s="20">
        <f>SUM('MOD1-评分表'!L94)</f>
        <v>0</v>
      </c>
      <c r="H28" s="20"/>
      <c r="I28" s="20"/>
      <c r="J28" s="128"/>
      <c r="K28" s="20">
        <f t="shared" ref="K28:K32" si="3">SUM(G28:J28)</f>
        <v>0</v>
      </c>
      <c r="L28" s="124"/>
    </row>
    <row r="29" spans="1:12">
      <c r="A29" s="102"/>
      <c r="B29" s="20" t="s">
        <v>25</v>
      </c>
      <c r="C29" s="20">
        <v>2</v>
      </c>
      <c r="D29" s="20" t="s">
        <v>27</v>
      </c>
      <c r="E29" s="20"/>
      <c r="F29" s="112" t="s">
        <v>13</v>
      </c>
      <c r="G29" s="20"/>
      <c r="H29" s="20">
        <v>3.3</v>
      </c>
      <c r="I29" s="20"/>
      <c r="J29" s="128"/>
      <c r="K29" s="128"/>
      <c r="L29" s="124"/>
    </row>
    <row r="30" spans="1:12">
      <c r="A30" s="102"/>
      <c r="B30" s="20"/>
      <c r="C30" s="20"/>
      <c r="D30" s="20"/>
      <c r="E30" s="20"/>
      <c r="F30" s="112" t="s">
        <v>14</v>
      </c>
      <c r="G30" s="20"/>
      <c r="H30" s="20">
        <f>SUM('MOD2-评分表'!L81)</f>
        <v>0</v>
      </c>
      <c r="I30" s="20"/>
      <c r="J30" s="128"/>
      <c r="K30" s="20">
        <f>SUM(G30:J30)</f>
        <v>0</v>
      </c>
      <c r="L30" s="124"/>
    </row>
    <row r="31" spans="1:12">
      <c r="A31" s="102"/>
      <c r="B31" s="20" t="s">
        <v>25</v>
      </c>
      <c r="C31" s="20">
        <v>3</v>
      </c>
      <c r="D31" s="20" t="s">
        <v>28</v>
      </c>
      <c r="E31" s="20"/>
      <c r="F31" s="112" t="s">
        <v>13</v>
      </c>
      <c r="G31" s="20"/>
      <c r="H31" s="20"/>
      <c r="I31" s="20">
        <v>3.4</v>
      </c>
      <c r="J31" s="128"/>
      <c r="K31" s="128"/>
      <c r="L31" s="124"/>
    </row>
    <row r="32" spans="1:12">
      <c r="A32" s="102"/>
      <c r="B32" s="20"/>
      <c r="C32" s="20"/>
      <c r="D32" s="20"/>
      <c r="E32" s="20"/>
      <c r="F32" s="112" t="s">
        <v>14</v>
      </c>
      <c r="G32" s="20"/>
      <c r="H32" s="20"/>
      <c r="I32" s="20"/>
      <c r="J32" s="128"/>
      <c r="K32" s="20">
        <f>SUM(G32:J32)</f>
        <v>0</v>
      </c>
      <c r="L32" s="124"/>
    </row>
    <row r="33" spans="1:12">
      <c r="A33" s="102"/>
      <c r="B33" s="20" t="s">
        <v>29</v>
      </c>
      <c r="C33" s="20">
        <v>1</v>
      </c>
      <c r="D33" s="20" t="s">
        <v>30</v>
      </c>
      <c r="E33" s="20"/>
      <c r="F33" s="112" t="s">
        <v>13</v>
      </c>
      <c r="G33" s="20">
        <v>2</v>
      </c>
      <c r="H33" s="20"/>
      <c r="I33" s="20"/>
      <c r="J33" s="128"/>
      <c r="K33" s="128"/>
      <c r="L33" s="124"/>
    </row>
    <row r="34" spans="1:12">
      <c r="A34" s="102"/>
      <c r="B34" s="20"/>
      <c r="C34" s="20"/>
      <c r="D34" s="20"/>
      <c r="E34" s="20"/>
      <c r="F34" s="112" t="s">
        <v>14</v>
      </c>
      <c r="G34" s="20">
        <f>SUM('MOD1-评分表'!L98)</f>
        <v>2</v>
      </c>
      <c r="H34" s="20"/>
      <c r="I34" s="20"/>
      <c r="J34" s="128"/>
      <c r="K34" s="20">
        <f t="shared" ref="K34:K38" si="4">SUM(G34:J34)</f>
        <v>2</v>
      </c>
      <c r="L34" s="124"/>
    </row>
    <row r="35" spans="1:12">
      <c r="A35" s="102"/>
      <c r="B35" s="20" t="s">
        <v>29</v>
      </c>
      <c r="C35" s="20">
        <v>2</v>
      </c>
      <c r="D35" s="20" t="s">
        <v>31</v>
      </c>
      <c r="E35" s="20"/>
      <c r="F35" s="112" t="s">
        <v>13</v>
      </c>
      <c r="G35" s="20"/>
      <c r="H35" s="20">
        <v>2</v>
      </c>
      <c r="I35" s="20"/>
      <c r="J35" s="128"/>
      <c r="K35" s="128"/>
      <c r="L35" s="124"/>
    </row>
    <row r="36" spans="1:12">
      <c r="A36" s="102"/>
      <c r="B36" s="20"/>
      <c r="C36" s="20"/>
      <c r="D36" s="20"/>
      <c r="E36" s="20"/>
      <c r="F36" s="112" t="s">
        <v>14</v>
      </c>
      <c r="G36" s="20"/>
      <c r="H36" s="20">
        <f>SUM('MOD2-评分表'!L85)</f>
        <v>3</v>
      </c>
      <c r="I36" s="20"/>
      <c r="J36" s="128"/>
      <c r="K36" s="20">
        <f t="shared" ref="K36:K41" si="5">SUM(G36:J36)</f>
        <v>3</v>
      </c>
      <c r="L36" s="124"/>
    </row>
    <row r="37" spans="1:12">
      <c r="A37" s="102"/>
      <c r="B37" s="20" t="s">
        <v>29</v>
      </c>
      <c r="C37" s="20">
        <v>3</v>
      </c>
      <c r="D37" s="20" t="s">
        <v>32</v>
      </c>
      <c r="E37" s="20"/>
      <c r="F37" s="112" t="s">
        <v>13</v>
      </c>
      <c r="G37" s="20"/>
      <c r="H37" s="20"/>
      <c r="I37" s="20">
        <v>2</v>
      </c>
      <c r="J37" s="128"/>
      <c r="K37" s="128"/>
      <c r="L37" s="124"/>
    </row>
    <row r="38" spans="1:12">
      <c r="A38" s="102"/>
      <c r="B38" s="20"/>
      <c r="C38" s="20"/>
      <c r="D38" s="20"/>
      <c r="E38" s="20"/>
      <c r="F38" s="112" t="s">
        <v>14</v>
      </c>
      <c r="G38" s="20"/>
      <c r="H38" s="20"/>
      <c r="I38" s="20"/>
      <c r="J38" s="128"/>
      <c r="K38" s="20">
        <f t="shared" ref="K38:K41" si="6">SUM(G38:J38)</f>
        <v>0</v>
      </c>
      <c r="L38" s="124"/>
    </row>
    <row r="39" spans="1:12">
      <c r="A39" s="102"/>
      <c r="B39" s="113"/>
      <c r="C39" s="113"/>
      <c r="D39" s="113"/>
      <c r="E39" s="114"/>
      <c r="F39" s="115"/>
      <c r="G39" s="116"/>
      <c r="H39" s="116"/>
      <c r="I39" s="116"/>
      <c r="J39" s="116"/>
      <c r="K39" s="116"/>
      <c r="L39" s="124"/>
    </row>
    <row r="40" spans="1:12">
      <c r="A40" s="102"/>
      <c r="B40" s="113"/>
      <c r="C40" s="113"/>
      <c r="D40" s="113"/>
      <c r="E40" s="114"/>
      <c r="F40" s="112" t="s">
        <v>13</v>
      </c>
      <c r="G40" s="20">
        <f>SUM(G9+G15+G21+G27+G33)</f>
        <v>33.3</v>
      </c>
      <c r="H40" s="20">
        <f>SUM(H11+H17+H23+H29+H35)</f>
        <v>33.3</v>
      </c>
      <c r="I40" s="20">
        <f>SUM(I13+I19+I25+I31+I37)</f>
        <v>33.4</v>
      </c>
      <c r="J40" s="112" t="s">
        <v>13</v>
      </c>
      <c r="K40" s="20">
        <f>SUM(G40:J40)</f>
        <v>100</v>
      </c>
      <c r="L40" s="124"/>
    </row>
    <row r="41" ht="14.25" customHeight="1" spans="1:12">
      <c r="A41" s="102"/>
      <c r="B41" s="113"/>
      <c r="C41" s="113"/>
      <c r="D41" s="113"/>
      <c r="E41" s="114"/>
      <c r="F41" s="112" t="s">
        <v>14</v>
      </c>
      <c r="G41" s="20">
        <f>SUM(G10+G16+G22+G28+G34)</f>
        <v>2</v>
      </c>
      <c r="H41" s="20">
        <f>SUM(H12+H18+H24+H30+H36)</f>
        <v>3</v>
      </c>
      <c r="I41" s="20">
        <v>0</v>
      </c>
      <c r="J41" s="112" t="s">
        <v>33</v>
      </c>
      <c r="K41" s="129">
        <f>SUM(G41:J41)</f>
        <v>5</v>
      </c>
      <c r="L41" s="124"/>
    </row>
    <row r="42" spans="1:12">
      <c r="A42" s="102"/>
      <c r="B42" s="113"/>
      <c r="C42" s="113"/>
      <c r="D42" s="113"/>
      <c r="E42" s="114"/>
      <c r="F42" s="116"/>
      <c r="G42" s="116"/>
      <c r="H42" s="116"/>
      <c r="I42" s="116"/>
      <c r="J42" s="116"/>
      <c r="K42" s="1"/>
      <c r="L42" s="124"/>
    </row>
    <row r="43" spans="1:12">
      <c r="A43" s="102"/>
      <c r="B43" s="113"/>
      <c r="C43" s="113"/>
      <c r="D43" s="113"/>
      <c r="E43" s="114"/>
      <c r="F43" s="116"/>
      <c r="G43" s="33" t="s">
        <v>34</v>
      </c>
      <c r="H43" s="33"/>
      <c r="I43" s="130"/>
      <c r="J43" s="130"/>
      <c r="K43" s="130"/>
      <c r="L43" s="124"/>
    </row>
    <row r="44" spans="1:12">
      <c r="A44" s="102"/>
      <c r="B44" s="1"/>
      <c r="C44" s="1"/>
      <c r="D44" s="1"/>
      <c r="E44" s="1"/>
      <c r="F44" s="1"/>
      <c r="G44" s="33"/>
      <c r="H44" s="33"/>
      <c r="I44" s="130"/>
      <c r="J44" s="130"/>
      <c r="K44" s="130"/>
      <c r="L44" s="124"/>
    </row>
    <row r="45" spans="1:12">
      <c r="A45" s="102"/>
      <c r="B45" s="1"/>
      <c r="C45" s="1"/>
      <c r="D45" s="1"/>
      <c r="E45" s="1"/>
      <c r="F45" s="1"/>
      <c r="G45" s="117" t="s">
        <v>35</v>
      </c>
      <c r="H45" s="118"/>
      <c r="I45" s="131"/>
      <c r="J45" s="132"/>
      <c r="K45" s="133"/>
      <c r="L45" s="124"/>
    </row>
    <row r="46" spans="1:12">
      <c r="A46" s="102"/>
      <c r="B46" s="1"/>
      <c r="C46" s="1"/>
      <c r="D46" s="1"/>
      <c r="E46" s="1"/>
      <c r="F46" s="1"/>
      <c r="G46" s="119"/>
      <c r="H46" s="120"/>
      <c r="I46" s="134"/>
      <c r="J46" s="135"/>
      <c r="K46" s="136"/>
      <c r="L46" s="124"/>
    </row>
    <row r="47" spans="1:12">
      <c r="A47" s="121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37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K7:K8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B2:K3"/>
    <mergeCell ref="B7:C8"/>
    <mergeCell ref="D7:E8"/>
    <mergeCell ref="D9:E10"/>
    <mergeCell ref="D11:E12"/>
    <mergeCell ref="D35:E36"/>
    <mergeCell ref="D33:E34"/>
    <mergeCell ref="D17:E18"/>
    <mergeCell ref="D15:E16"/>
    <mergeCell ref="D13:E14"/>
    <mergeCell ref="D23:E24"/>
    <mergeCell ref="D21:E22"/>
    <mergeCell ref="D19:E20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36</v>
      </c>
      <c r="C1" s="4"/>
      <c r="D1" s="4"/>
      <c r="E1" s="4"/>
      <c r="F1" s="4"/>
      <c r="G1" s="4"/>
      <c r="H1" s="4"/>
      <c r="I1" s="4"/>
      <c r="J1" s="4"/>
      <c r="K1" s="4"/>
      <c r="L1" s="4"/>
      <c r="M1" s="30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1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2"/>
      <c r="L3" s="33"/>
      <c r="M3" s="34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5" t="s">
        <v>38</v>
      </c>
      <c r="J4" s="35"/>
      <c r="K4" s="36" t="s">
        <v>39</v>
      </c>
      <c r="L4" s="14">
        <f>SUM(L7:L97)</f>
        <v>2</v>
      </c>
      <c r="M4" s="37"/>
    </row>
    <row r="5" ht="5.25" customHeight="1"/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16" t="s">
        <v>50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97" t="s">
        <v>52</v>
      </c>
      <c r="M7" s="98">
        <v>0.003</v>
      </c>
    </row>
    <row r="8" spans="2:13">
      <c r="B8" s="19">
        <v>1</v>
      </c>
      <c r="C8" s="20">
        <v>0.9</v>
      </c>
      <c r="D8" s="20" t="s">
        <v>53</v>
      </c>
      <c r="E8" s="20" t="s">
        <v>54</v>
      </c>
      <c r="F8" s="20">
        <v>18</v>
      </c>
      <c r="G8" s="20">
        <v>0</v>
      </c>
      <c r="H8" s="20">
        <v>-0.03</v>
      </c>
      <c r="I8" s="20">
        <f>SUM(F8+G8)</f>
        <v>18</v>
      </c>
      <c r="J8" s="20">
        <f>SUM(F8+H8)</f>
        <v>17.97</v>
      </c>
      <c r="K8" s="40"/>
      <c r="L8" s="20">
        <f>IF(K8&gt;=(J8-M8-$M$7),(IF(K8&lt;=(I8+M8+$M$7),C8,0)),0)</f>
        <v>0</v>
      </c>
      <c r="M8" s="41"/>
    </row>
    <row r="9" spans="2:13">
      <c r="B9" s="19">
        <v>2</v>
      </c>
      <c r="C9" s="20">
        <v>0.7</v>
      </c>
      <c r="D9" s="20" t="s">
        <v>55</v>
      </c>
      <c r="E9" s="20" t="s">
        <v>54</v>
      </c>
      <c r="F9" s="20">
        <v>60</v>
      </c>
      <c r="G9" s="20">
        <v>0.05</v>
      </c>
      <c r="H9" s="20">
        <v>0.02</v>
      </c>
      <c r="I9" s="20">
        <f t="shared" ref="I9:I30" si="0">SUM(F9+G9)</f>
        <v>60.05</v>
      </c>
      <c r="J9" s="20">
        <f t="shared" ref="J9:J30" si="1">SUM(F9+H9)</f>
        <v>60.02</v>
      </c>
      <c r="K9" s="40"/>
      <c r="L9" s="20">
        <f>IF(K9&gt;=(J9-M9-$M$7),(IF(K9&lt;=(I9+M9+$M$7),C9,0)),0)</f>
        <v>0</v>
      </c>
      <c r="M9" s="41"/>
    </row>
    <row r="10" spans="2:13">
      <c r="B10" s="19">
        <v>3</v>
      </c>
      <c r="C10" s="20">
        <v>0.7</v>
      </c>
      <c r="D10" s="20" t="s">
        <v>55</v>
      </c>
      <c r="E10" s="20" t="s">
        <v>54</v>
      </c>
      <c r="F10" s="20">
        <v>28</v>
      </c>
      <c r="G10" s="20">
        <v>0.05</v>
      </c>
      <c r="H10" s="20">
        <v>0.03</v>
      </c>
      <c r="I10" s="20">
        <f>SUM(F10+G10)</f>
        <v>28.05</v>
      </c>
      <c r="J10" s="20">
        <f>SUM(F10+H10)</f>
        <v>28.03</v>
      </c>
      <c r="K10" s="40"/>
      <c r="L10" s="20">
        <f t="shared" ref="L10:L30" si="2">IF(K10&gt;=(J10-M10-$M$7),(IF(K10&lt;=(I10+M10+$M$7),C10,0)),0)</f>
        <v>0</v>
      </c>
      <c r="M10" s="41"/>
    </row>
    <row r="11" spans="2:13">
      <c r="B11" s="19">
        <v>4</v>
      </c>
      <c r="C11" s="20">
        <v>0.7</v>
      </c>
      <c r="D11" s="20" t="s">
        <v>56</v>
      </c>
      <c r="E11" s="20" t="s">
        <v>54</v>
      </c>
      <c r="F11" s="20">
        <v>24</v>
      </c>
      <c r="G11" s="20">
        <v>-0.01</v>
      </c>
      <c r="H11" s="20">
        <v>-0.04</v>
      </c>
      <c r="I11" s="20">
        <f>SUM(F11+G11)</f>
        <v>23.99</v>
      </c>
      <c r="J11" s="20">
        <f>SUM(F11+H11)</f>
        <v>23.96</v>
      </c>
      <c r="K11" s="40"/>
      <c r="L11" s="20">
        <f>IF(K11&gt;=(J11-M11-$M$7),(IF(K11&lt;=(I11+M11+$M$7),C11,0)),0)</f>
        <v>0</v>
      </c>
      <c r="M11" s="41"/>
    </row>
    <row r="12" spans="2:13">
      <c r="B12" s="19">
        <v>5</v>
      </c>
      <c r="C12" s="20">
        <v>0.7</v>
      </c>
      <c r="D12" s="20" t="s">
        <v>57</v>
      </c>
      <c r="E12" s="20" t="s">
        <v>54</v>
      </c>
      <c r="F12" s="20">
        <v>10</v>
      </c>
      <c r="G12" s="20">
        <v>-0.01</v>
      </c>
      <c r="H12" s="20">
        <v>-0.03</v>
      </c>
      <c r="I12" s="20">
        <f>SUM(F12+G12)</f>
        <v>9.99</v>
      </c>
      <c r="J12" s="20">
        <f>SUM(F12+H12)</f>
        <v>9.97</v>
      </c>
      <c r="K12" s="40"/>
      <c r="L12" s="20">
        <f>IF(K12&gt;=(J12-M12-$M$7),(IF(K12&lt;=(I12+M12+$M$7),C12,0)),0)</f>
        <v>0</v>
      </c>
      <c r="M12" s="41"/>
    </row>
    <row r="13" spans="2:13">
      <c r="B13" s="19">
        <v>6</v>
      </c>
      <c r="C13" s="20">
        <v>0.7</v>
      </c>
      <c r="D13" s="20" t="s">
        <v>58</v>
      </c>
      <c r="E13" s="20" t="s">
        <v>54</v>
      </c>
      <c r="F13" s="20">
        <v>18</v>
      </c>
      <c r="G13" s="20">
        <v>0.01</v>
      </c>
      <c r="H13" s="20">
        <v>-0.015</v>
      </c>
      <c r="I13" s="20">
        <f>SUM(F13+G13)</f>
        <v>18.01</v>
      </c>
      <c r="J13" s="20">
        <f>SUM(F13+H13)</f>
        <v>17.985</v>
      </c>
      <c r="K13" s="40"/>
      <c r="L13" s="20">
        <f>IF(K13&gt;=(J13-M13-$M$7),(IF(K13&lt;=(I13+M13+$M$7),C13,0)),0)</f>
        <v>0</v>
      </c>
      <c r="M13" s="41"/>
    </row>
    <row r="14" spans="2:13">
      <c r="B14" s="19">
        <v>7</v>
      </c>
      <c r="C14" s="20">
        <v>0.8</v>
      </c>
      <c r="D14" s="20" t="s">
        <v>59</v>
      </c>
      <c r="E14" s="20" t="s">
        <v>60</v>
      </c>
      <c r="F14" s="20">
        <v>22</v>
      </c>
      <c r="G14" s="20">
        <v>0.05</v>
      </c>
      <c r="H14" s="20">
        <v>0.03</v>
      </c>
      <c r="I14" s="20">
        <f>SUM(F14+G14)</f>
        <v>22.05</v>
      </c>
      <c r="J14" s="20">
        <f>SUM(F14+H14)</f>
        <v>22.03</v>
      </c>
      <c r="K14" s="40"/>
      <c r="L14" s="20">
        <f>IF(K14&gt;=(J14-M14-$M$7),(IF(K14&lt;=(I14+M14+$M$7),C14,0)),0)</f>
        <v>0</v>
      </c>
      <c r="M14" s="41"/>
    </row>
    <row r="15" spans="2:13">
      <c r="B15" s="19">
        <v>8</v>
      </c>
      <c r="C15" s="20">
        <v>0.7</v>
      </c>
      <c r="D15" s="20" t="s">
        <v>61</v>
      </c>
      <c r="E15" s="20" t="s">
        <v>54</v>
      </c>
      <c r="F15" s="20">
        <v>8</v>
      </c>
      <c r="G15" s="20">
        <v>0.04</v>
      </c>
      <c r="H15" s="20">
        <v>0.02</v>
      </c>
      <c r="I15" s="20">
        <f>SUM(F15+G15)</f>
        <v>8.04</v>
      </c>
      <c r="J15" s="20">
        <f>SUM(F15+H15)</f>
        <v>8.02</v>
      </c>
      <c r="K15" s="40"/>
      <c r="L15" s="20">
        <f>IF(K15&gt;=(J15-M15-$M$7),(IF(K15&lt;=(I15+M15+$M$7),C15,0)),0)</f>
        <v>0</v>
      </c>
      <c r="M15" s="41"/>
    </row>
    <row r="16" spans="2:13">
      <c r="B16" s="19">
        <v>9</v>
      </c>
      <c r="C16" s="20">
        <v>0.7</v>
      </c>
      <c r="D16" s="20" t="s">
        <v>62</v>
      </c>
      <c r="E16" s="20" t="s">
        <v>54</v>
      </c>
      <c r="F16" s="20">
        <v>114</v>
      </c>
      <c r="G16" s="20">
        <v>0.08</v>
      </c>
      <c r="H16" s="20">
        <v>0.05</v>
      </c>
      <c r="I16" s="20">
        <f>SUM(F16+G16)</f>
        <v>114.08</v>
      </c>
      <c r="J16" s="20">
        <f>SUM(F16+H16)</f>
        <v>114.05</v>
      </c>
      <c r="K16" s="40"/>
      <c r="L16" s="20">
        <f>IF(K16&gt;=(J16-M16-$M$7),(IF(K16&lt;=(I16+M16+$M$7),C16,0)),0)</f>
        <v>0</v>
      </c>
      <c r="M16" s="41"/>
    </row>
    <row r="17" spans="2:13">
      <c r="B17" s="19">
        <v>10</v>
      </c>
      <c r="C17" s="20">
        <v>0.7</v>
      </c>
      <c r="D17" s="20" t="s">
        <v>62</v>
      </c>
      <c r="E17" s="20" t="s">
        <v>54</v>
      </c>
      <c r="F17" s="20">
        <v>88</v>
      </c>
      <c r="G17" s="20">
        <v>0.06</v>
      </c>
      <c r="H17" s="20">
        <v>0.03</v>
      </c>
      <c r="I17" s="20">
        <f>SUM(F17+G17)</f>
        <v>88.06</v>
      </c>
      <c r="J17" s="20">
        <f>SUM(F17+H17)</f>
        <v>88.03</v>
      </c>
      <c r="K17" s="40"/>
      <c r="L17" s="20">
        <f>IF(K17&gt;=(J17-M17-$M$7),(IF(K17&lt;=(I17+M17+$M$7),C17,0)),0)</f>
        <v>0</v>
      </c>
      <c r="M17" s="41"/>
    </row>
    <row r="18" spans="2:13">
      <c r="B18" s="19">
        <v>11</v>
      </c>
      <c r="C18" s="20">
        <v>0.9</v>
      </c>
      <c r="D18" s="20" t="s">
        <v>63</v>
      </c>
      <c r="E18" s="20" t="s">
        <v>60</v>
      </c>
      <c r="F18" s="20">
        <v>12</v>
      </c>
      <c r="G18" s="20">
        <v>0.018</v>
      </c>
      <c r="H18" s="20">
        <v>0</v>
      </c>
      <c r="I18" s="20">
        <f>SUM(F18+G18)</f>
        <v>12.018</v>
      </c>
      <c r="J18" s="20">
        <f>SUM(F18+H18)</f>
        <v>12</v>
      </c>
      <c r="K18" s="40"/>
      <c r="L18" s="20">
        <f>IF(K18&gt;=(J18-M18-$M$7),(IF(K18&lt;=(I18+M18+$M$7),C18,0)),0)</f>
        <v>0</v>
      </c>
      <c r="M18" s="41"/>
    </row>
    <row r="19" spans="2:13">
      <c r="B19" s="19">
        <v>12</v>
      </c>
      <c r="C19" s="20">
        <v>0.9</v>
      </c>
      <c r="D19" s="20" t="s">
        <v>63</v>
      </c>
      <c r="E19" s="20" t="s">
        <v>60</v>
      </c>
      <c r="F19" s="20">
        <v>12</v>
      </c>
      <c r="G19" s="20">
        <v>0.018</v>
      </c>
      <c r="H19" s="20">
        <v>0</v>
      </c>
      <c r="I19" s="20">
        <f>SUM(F19+G19)</f>
        <v>12.018</v>
      </c>
      <c r="J19" s="20">
        <f>SUM(F19+H19)</f>
        <v>12</v>
      </c>
      <c r="K19" s="40"/>
      <c r="L19" s="20">
        <f>IF(K19&gt;=(J19-M19-$M$7),(IF(K19&lt;=(I19+M19+$M$7),C19,0)),0)</f>
        <v>0</v>
      </c>
      <c r="M19" s="41"/>
    </row>
    <row r="20" spans="2:13">
      <c r="B20" s="19">
        <v>13</v>
      </c>
      <c r="C20" s="20">
        <v>0.7</v>
      </c>
      <c r="D20" s="20" t="s">
        <v>64</v>
      </c>
      <c r="E20" s="20" t="s">
        <v>54</v>
      </c>
      <c r="F20" s="20">
        <v>18</v>
      </c>
      <c r="G20" s="20">
        <v>-0.02</v>
      </c>
      <c r="H20" s="20">
        <v>-0.04</v>
      </c>
      <c r="I20" s="20">
        <f>SUM(F20+G20)</f>
        <v>17.98</v>
      </c>
      <c r="J20" s="20">
        <f>SUM(F20+H20)</f>
        <v>17.96</v>
      </c>
      <c r="K20" s="40"/>
      <c r="L20" s="20">
        <f>IF(K20&gt;=(J20-M20-$M$7),(IF(K20&lt;=(I20+M20+$M$7),C20,0)),0)</f>
        <v>0</v>
      </c>
      <c r="M20" s="41"/>
    </row>
    <row r="21" spans="2:13">
      <c r="B21" s="19">
        <v>14</v>
      </c>
      <c r="C21" s="20">
        <v>0.7</v>
      </c>
      <c r="D21" s="20" t="s">
        <v>65</v>
      </c>
      <c r="E21" s="20" t="s">
        <v>54</v>
      </c>
      <c r="F21" s="20">
        <v>9</v>
      </c>
      <c r="G21" s="20">
        <v>-0.01</v>
      </c>
      <c r="H21" s="20">
        <v>-0.03</v>
      </c>
      <c r="I21" s="20">
        <f>SUM(F21+G21)</f>
        <v>8.99</v>
      </c>
      <c r="J21" s="20">
        <f>SUM(F21+H21)</f>
        <v>8.97</v>
      </c>
      <c r="K21" s="40"/>
      <c r="L21" s="20">
        <f>IF(K21&gt;=(J21-M21-$M$7),(IF(K21&lt;=(I21+M21+$M$7),C21,0)),0)</f>
        <v>0</v>
      </c>
      <c r="M21" s="41"/>
    </row>
    <row r="22" spans="2:13">
      <c r="B22" s="19">
        <v>15</v>
      </c>
      <c r="C22" s="20">
        <v>1</v>
      </c>
      <c r="D22" s="20" t="s">
        <v>66</v>
      </c>
      <c r="E22" s="20" t="s">
        <v>54</v>
      </c>
      <c r="F22" s="20">
        <v>45</v>
      </c>
      <c r="G22" s="20">
        <v>0</v>
      </c>
      <c r="H22" s="20">
        <v>-0.04</v>
      </c>
      <c r="I22" s="20">
        <f>SUM(F22+G22)</f>
        <v>45</v>
      </c>
      <c r="J22" s="20">
        <f>SUM(F22+H22)</f>
        <v>44.96</v>
      </c>
      <c r="K22" s="40"/>
      <c r="L22" s="20">
        <f>IF(K22&gt;=(J22-M22-$M$7),(IF(K22&lt;=(I22+M22+$M$7),C22,0)),0)</f>
        <v>0</v>
      </c>
      <c r="M22" s="41"/>
    </row>
    <row r="23" spans="2:13">
      <c r="B23" s="19">
        <v>16</v>
      </c>
      <c r="C23" s="20">
        <v>1</v>
      </c>
      <c r="D23" s="20" t="s">
        <v>67</v>
      </c>
      <c r="E23" s="20" t="s">
        <v>54</v>
      </c>
      <c r="F23" s="20">
        <v>30</v>
      </c>
      <c r="G23" s="20">
        <v>0.04</v>
      </c>
      <c r="H23" s="20">
        <v>0.01</v>
      </c>
      <c r="I23" s="20">
        <f>SUM(F23+G23)</f>
        <v>30.04</v>
      </c>
      <c r="J23" s="20">
        <f>SUM(F23+H23)</f>
        <v>30.01</v>
      </c>
      <c r="K23" s="40"/>
      <c r="L23" s="20">
        <f>IF(K23&gt;=(J23-M23-$M$7),(IF(K23&lt;=(I23+M23+$M$7),C23,0)),0)</f>
        <v>0</v>
      </c>
      <c r="M23" s="41"/>
    </row>
    <row r="24" spans="2:13">
      <c r="B24" s="19">
        <v>17</v>
      </c>
      <c r="C24" s="20">
        <v>1</v>
      </c>
      <c r="D24" s="20" t="s">
        <v>68</v>
      </c>
      <c r="E24" s="20" t="s">
        <v>69</v>
      </c>
      <c r="F24" s="20">
        <v>0.02</v>
      </c>
      <c r="G24" s="20">
        <v>0.02</v>
      </c>
      <c r="H24" s="20">
        <v>1e-7</v>
      </c>
      <c r="I24" s="20">
        <f>SUM(G24)</f>
        <v>0.02</v>
      </c>
      <c r="J24" s="20">
        <f>SUM(H24)</f>
        <v>1e-7</v>
      </c>
      <c r="K24" s="40"/>
      <c r="L24" s="20">
        <f>IF(K24&gt;=(J24-M24),(IF(K24&lt;=(I24+M24),C24,0)),0)</f>
        <v>0</v>
      </c>
      <c r="M24" s="41"/>
    </row>
    <row r="25" spans="2:13">
      <c r="B25" s="19">
        <v>18</v>
      </c>
      <c r="C25" s="20">
        <v>0.7</v>
      </c>
      <c r="D25" s="20" t="s">
        <v>70</v>
      </c>
      <c r="E25" s="20" t="s">
        <v>54</v>
      </c>
      <c r="F25" s="20">
        <v>98</v>
      </c>
      <c r="G25" s="20">
        <v>0.095</v>
      </c>
      <c r="H25" s="20">
        <v>0.06</v>
      </c>
      <c r="I25" s="20">
        <f t="shared" ref="I25:I30" si="3">SUM(F25+G25)</f>
        <v>98.095</v>
      </c>
      <c r="J25" s="20">
        <f t="shared" ref="J25:J30" si="4">SUM(F25+H25)</f>
        <v>98.06</v>
      </c>
      <c r="K25" s="40"/>
      <c r="L25" s="20">
        <f t="shared" ref="L25:L30" si="5">IF(K25&gt;=(J25-M25-$M$7),(IF(K25&lt;=(I25+M25+$M$7),C25,0)),0)</f>
        <v>0</v>
      </c>
      <c r="M25" s="41"/>
    </row>
    <row r="26" spans="2:13">
      <c r="B26" s="19">
        <v>19</v>
      </c>
      <c r="C26" s="20">
        <v>0.8</v>
      </c>
      <c r="D26" s="20" t="s">
        <v>70</v>
      </c>
      <c r="E26" s="20" t="s">
        <v>60</v>
      </c>
      <c r="F26" s="20">
        <v>20</v>
      </c>
      <c r="G26" s="20">
        <v>0</v>
      </c>
      <c r="H26" s="20">
        <v>-0.02</v>
      </c>
      <c r="I26" s="20">
        <f>SUM(F26+G26)</f>
        <v>20</v>
      </c>
      <c r="J26" s="20">
        <f>SUM(F26+H26)</f>
        <v>19.98</v>
      </c>
      <c r="K26" s="40"/>
      <c r="L26" s="20">
        <f>IF(K26&gt;=(J26-M26-$M$7),(IF(K26&lt;=(I26+M26+$M$7),C26,0)),0)</f>
        <v>0</v>
      </c>
      <c r="M26" s="41"/>
    </row>
    <row r="27" spans="2:13">
      <c r="B27" s="19">
        <v>20</v>
      </c>
      <c r="C27" s="20">
        <v>0.7</v>
      </c>
      <c r="D27" s="20" t="s">
        <v>71</v>
      </c>
      <c r="E27" s="20" t="s">
        <v>54</v>
      </c>
      <c r="F27" s="20">
        <v>90</v>
      </c>
      <c r="G27" s="20">
        <v>-0.07</v>
      </c>
      <c r="H27" s="20">
        <v>-0.105</v>
      </c>
      <c r="I27" s="20">
        <f>SUM(F27+G27)</f>
        <v>89.93</v>
      </c>
      <c r="J27" s="20">
        <f>SUM(F27+H27)</f>
        <v>89.895</v>
      </c>
      <c r="K27" s="40"/>
      <c r="L27" s="20">
        <f>IF(K27&gt;=(J27-M27-$M$7),(IF(K27&lt;=(I27+M27+$M$7),C27,0)),0)</f>
        <v>0</v>
      </c>
      <c r="M27" s="41"/>
    </row>
    <row r="28" spans="2:13">
      <c r="B28" s="19">
        <v>21</v>
      </c>
      <c r="C28" s="20">
        <v>0.8</v>
      </c>
      <c r="D28" s="20" t="s">
        <v>72</v>
      </c>
      <c r="E28" s="20" t="s">
        <v>60</v>
      </c>
      <c r="F28" s="20">
        <v>48</v>
      </c>
      <c r="G28" s="20">
        <v>-0.02</v>
      </c>
      <c r="H28" s="20">
        <v>-0.045</v>
      </c>
      <c r="I28" s="20">
        <f>SUM(F28+G28)</f>
        <v>47.98</v>
      </c>
      <c r="J28" s="20">
        <f>SUM(F28+H28)</f>
        <v>47.955</v>
      </c>
      <c r="K28" s="40"/>
      <c r="L28" s="20">
        <f>IF(K28&gt;=(J28-M28-$M$7),(IF(K28&lt;=(I28+M28+$M$7),C28,0)),0)</f>
        <v>0</v>
      </c>
      <c r="M28" s="41"/>
    </row>
    <row r="29" spans="2:13">
      <c r="B29" s="19">
        <v>22</v>
      </c>
      <c r="C29" s="20">
        <v>0.7</v>
      </c>
      <c r="D29" s="20" t="s">
        <v>73</v>
      </c>
      <c r="E29" s="20" t="s">
        <v>54</v>
      </c>
      <c r="F29" s="20">
        <v>98</v>
      </c>
      <c r="G29" s="20">
        <v>-0.06</v>
      </c>
      <c r="H29" s="20">
        <v>-0.095</v>
      </c>
      <c r="I29" s="20">
        <f>SUM(F29+G29)</f>
        <v>97.94</v>
      </c>
      <c r="J29" s="20">
        <f>SUM(F29+H29)</f>
        <v>97.905</v>
      </c>
      <c r="K29" s="40"/>
      <c r="L29" s="20">
        <f>IF(K29&gt;=(J29-M29-$M$7),(IF(K29&lt;=(I29+M29+$M$7),C29,0)),0)</f>
        <v>0</v>
      </c>
      <c r="M29" s="41"/>
    </row>
    <row r="30" spans="2:13">
      <c r="B30" s="19">
        <v>23</v>
      </c>
      <c r="C30" s="20">
        <v>0.8</v>
      </c>
      <c r="D30" s="20" t="s">
        <v>74</v>
      </c>
      <c r="E30" s="20" t="s">
        <v>60</v>
      </c>
      <c r="F30" s="20">
        <v>10</v>
      </c>
      <c r="G30" s="20">
        <v>0.015</v>
      </c>
      <c r="H30" s="20">
        <v>0</v>
      </c>
      <c r="I30" s="20">
        <f>SUM(F30+G30)</f>
        <v>10.015</v>
      </c>
      <c r="J30" s="20">
        <f>SUM(F30+H30)</f>
        <v>10</v>
      </c>
      <c r="K30" s="40"/>
      <c r="L30" s="20">
        <f>IF(K30&gt;=(J30-M30-$M$7),(IF(K30&lt;=(I30+M30+$M$7),C30,0)),0)</f>
        <v>0</v>
      </c>
      <c r="M30" s="41"/>
    </row>
    <row r="31" spans="2:13">
      <c r="B31" s="19">
        <v>24</v>
      </c>
      <c r="C31" s="20"/>
      <c r="D31" s="20"/>
      <c r="E31" s="20"/>
      <c r="F31" s="20"/>
      <c r="G31" s="20"/>
      <c r="H31" s="20"/>
      <c r="I31" s="20">
        <f t="shared" ref="I31:I40" si="6">SUM(F31+G31)</f>
        <v>0</v>
      </c>
      <c r="J31" s="20">
        <f t="shared" ref="J31:J40" si="7">SUM(F31+H31)</f>
        <v>0</v>
      </c>
      <c r="K31" s="40"/>
      <c r="L31" s="20">
        <f t="shared" ref="L31:L40" si="8">IF(K31&gt;=(J31-M31),(IF(K31&lt;=(I31+M31),C31,0)),0)</f>
        <v>0</v>
      </c>
      <c r="M31" s="41"/>
    </row>
    <row r="32" spans="2:13">
      <c r="B32" s="19">
        <v>25</v>
      </c>
      <c r="C32" s="20"/>
      <c r="D32" s="20"/>
      <c r="E32" s="20"/>
      <c r="F32" s="20"/>
      <c r="G32" s="20"/>
      <c r="H32" s="20"/>
      <c r="I32" s="20">
        <f>SUM(F32+G32)</f>
        <v>0</v>
      </c>
      <c r="J32" s="20">
        <f>SUM(F32+H32)</f>
        <v>0</v>
      </c>
      <c r="K32" s="40"/>
      <c r="L32" s="20">
        <f>IF(K32&gt;=(J32-M32),(IF(K32&lt;=(I32+M32),C32,0)),0)</f>
        <v>0</v>
      </c>
      <c r="M32" s="41"/>
    </row>
    <row r="33" spans="2:13">
      <c r="B33" s="19">
        <v>26</v>
      </c>
      <c r="C33" s="20"/>
      <c r="D33" s="20"/>
      <c r="E33" s="20"/>
      <c r="F33" s="20"/>
      <c r="G33" s="20"/>
      <c r="H33" s="20"/>
      <c r="I33" s="20">
        <f>SUM(F33+G33)</f>
        <v>0</v>
      </c>
      <c r="J33" s="20">
        <f>SUM(F33+H33)</f>
        <v>0</v>
      </c>
      <c r="K33" s="40"/>
      <c r="L33" s="20">
        <f>IF(K33&gt;=(J33-M33),(IF(K33&lt;=(I33+M33),C33,0)),0)</f>
        <v>0</v>
      </c>
      <c r="M33" s="41"/>
    </row>
    <row r="34" spans="2:13">
      <c r="B34" s="19">
        <v>27</v>
      </c>
      <c r="C34" s="20"/>
      <c r="D34" s="20"/>
      <c r="E34" s="20"/>
      <c r="F34" s="20"/>
      <c r="G34" s="20"/>
      <c r="H34" s="20"/>
      <c r="I34" s="20">
        <f>SUM(F34+G34)</f>
        <v>0</v>
      </c>
      <c r="J34" s="20">
        <f>SUM(F34+H34)</f>
        <v>0</v>
      </c>
      <c r="K34" s="40"/>
      <c r="L34" s="20">
        <f>IF(K34&gt;=(J34-M34),(IF(K34&lt;=(I34+M34),C34,0)),0)</f>
        <v>0</v>
      </c>
      <c r="M34" s="41"/>
    </row>
    <row r="35" spans="2:13">
      <c r="B35" s="19">
        <v>28</v>
      </c>
      <c r="C35" s="20"/>
      <c r="D35" s="20"/>
      <c r="E35" s="20"/>
      <c r="F35" s="20"/>
      <c r="G35" s="20"/>
      <c r="H35" s="20"/>
      <c r="I35" s="20">
        <f>SUM(F35+G35)</f>
        <v>0</v>
      </c>
      <c r="J35" s="20">
        <f>SUM(F35+H35)</f>
        <v>0</v>
      </c>
      <c r="K35" s="40"/>
      <c r="L35" s="20">
        <f>IF(K35&gt;=(J35-M35),(IF(K35&lt;=(I35+M35),C35,0)),0)</f>
        <v>0</v>
      </c>
      <c r="M35" s="41"/>
    </row>
    <row r="36" spans="2:13">
      <c r="B36" s="19">
        <v>29</v>
      </c>
      <c r="C36" s="20"/>
      <c r="D36" s="20"/>
      <c r="E36" s="20"/>
      <c r="F36" s="20"/>
      <c r="G36" s="20"/>
      <c r="H36" s="20"/>
      <c r="I36" s="20">
        <f>SUM(F36+G36)</f>
        <v>0</v>
      </c>
      <c r="J36" s="20">
        <f>SUM(F36+H36)</f>
        <v>0</v>
      </c>
      <c r="K36" s="40"/>
      <c r="L36" s="20">
        <f>IF(K36&gt;=(J36-M36),(IF(K36&lt;=(I36+M36),C36,0)),0)</f>
        <v>0</v>
      </c>
      <c r="M36" s="41"/>
    </row>
    <row r="37" spans="2:13">
      <c r="B37" s="19">
        <v>30</v>
      </c>
      <c r="C37" s="20"/>
      <c r="D37" s="20"/>
      <c r="E37" s="20"/>
      <c r="F37" s="20"/>
      <c r="G37" s="20"/>
      <c r="H37" s="20"/>
      <c r="I37" s="20">
        <f>SUM(F37+G37)</f>
        <v>0</v>
      </c>
      <c r="J37" s="20">
        <f>SUM(F37+H37)</f>
        <v>0</v>
      </c>
      <c r="K37" s="40"/>
      <c r="L37" s="20">
        <f>IF(K37&gt;=(J37-M37),(IF(K37&lt;=(I37+M37),C37,0)),0)</f>
        <v>0</v>
      </c>
      <c r="M37" s="41"/>
    </row>
    <row r="38" spans="2:13">
      <c r="B38" s="19">
        <v>31</v>
      </c>
      <c r="C38" s="20"/>
      <c r="D38" s="20"/>
      <c r="E38" s="20"/>
      <c r="F38" s="20"/>
      <c r="G38" s="20"/>
      <c r="H38" s="20"/>
      <c r="I38" s="20">
        <f>SUM(F38+G38)</f>
        <v>0</v>
      </c>
      <c r="J38" s="20">
        <f>SUM(F38+H38)</f>
        <v>0</v>
      </c>
      <c r="K38" s="40"/>
      <c r="L38" s="20">
        <f>IF(K38&gt;=(J38-M38),(IF(K38&lt;=(I38+M38),C38,0)),0)</f>
        <v>0</v>
      </c>
      <c r="M38" s="41"/>
    </row>
    <row r="39" spans="2:13">
      <c r="B39" s="19">
        <v>32</v>
      </c>
      <c r="C39" s="20"/>
      <c r="D39" s="20"/>
      <c r="E39" s="20"/>
      <c r="F39" s="20"/>
      <c r="G39" s="20"/>
      <c r="H39" s="20"/>
      <c r="I39" s="20">
        <f>SUM(F39+G39)</f>
        <v>0</v>
      </c>
      <c r="J39" s="20">
        <f>SUM(F39+H39)</f>
        <v>0</v>
      </c>
      <c r="K39" s="40"/>
      <c r="L39" s="20">
        <f>IF(K39&gt;=(J39-M39),(IF(K39&lt;=(I39+M39),C39,0)),0)</f>
        <v>0</v>
      </c>
      <c r="M39" s="41"/>
    </row>
    <row r="40" spans="2:13">
      <c r="B40" s="62">
        <v>33</v>
      </c>
      <c r="C40" s="58"/>
      <c r="D40" s="58"/>
      <c r="E40" s="58"/>
      <c r="F40" s="58"/>
      <c r="G40" s="58"/>
      <c r="H40" s="58"/>
      <c r="I40" s="58">
        <f>SUM(F40+G40)</f>
        <v>0</v>
      </c>
      <c r="J40" s="58">
        <f>SUM(F40+H40)</f>
        <v>0</v>
      </c>
      <c r="K40" s="53"/>
      <c r="L40" s="58">
        <f>IF(K40&gt;=(J40-M40),(IF(K40&lt;=(I40+M40),C40,0)),0)</f>
        <v>0</v>
      </c>
      <c r="M40" s="42"/>
    </row>
    <row r="41" spans="2:13">
      <c r="B41" s="23" t="s">
        <v>75</v>
      </c>
      <c r="C41" s="24">
        <f>SUM(C8:C40)</f>
        <v>18</v>
      </c>
      <c r="D41" s="24"/>
      <c r="E41" s="24"/>
      <c r="F41" s="24"/>
      <c r="G41" s="24"/>
      <c r="H41" s="24"/>
      <c r="I41" s="24"/>
      <c r="J41" s="24"/>
      <c r="K41" s="44"/>
      <c r="L41" s="44">
        <f>SUM(L8:L40)</f>
        <v>0</v>
      </c>
      <c r="M41" s="45"/>
    </row>
    <row r="42" spans="2:13">
      <c r="B42" s="25"/>
      <c r="C42" s="26"/>
      <c r="D42" s="26"/>
      <c r="E42" s="26"/>
      <c r="F42" s="26"/>
      <c r="G42" s="26"/>
      <c r="H42" s="26"/>
      <c r="I42" s="26"/>
      <c r="J42" s="26"/>
      <c r="K42" s="46"/>
      <c r="L42" s="46"/>
      <c r="M42" s="26"/>
    </row>
    <row r="43" spans="2:13">
      <c r="B43" s="17" t="s">
        <v>76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39"/>
    </row>
    <row r="44" spans="2:13">
      <c r="B44" s="19">
        <v>1</v>
      </c>
      <c r="C44" s="20">
        <v>0.8</v>
      </c>
      <c r="D44" s="20" t="s">
        <v>64</v>
      </c>
      <c r="E44" s="20" t="s">
        <v>77</v>
      </c>
      <c r="F44" s="20" t="s">
        <v>78</v>
      </c>
      <c r="G44" s="20"/>
      <c r="H44" s="20"/>
      <c r="I44" s="20" t="s">
        <v>79</v>
      </c>
      <c r="J44" s="20" t="s">
        <v>80</v>
      </c>
      <c r="K44" s="40"/>
      <c r="L44" s="20">
        <f>IF(K44=I44,(IF(K44&lt;&gt;J44,C44,0)),0)</f>
        <v>0</v>
      </c>
      <c r="M44" s="41"/>
    </row>
    <row r="45" spans="2:13">
      <c r="B45" s="19">
        <v>2</v>
      </c>
      <c r="C45" s="20">
        <v>0.6</v>
      </c>
      <c r="D45" s="20" t="s">
        <v>59</v>
      </c>
      <c r="E45" s="20" t="s">
        <v>77</v>
      </c>
      <c r="F45" s="20" t="s">
        <v>81</v>
      </c>
      <c r="G45" s="20"/>
      <c r="H45" s="20"/>
      <c r="I45" s="20" t="s">
        <v>79</v>
      </c>
      <c r="J45" s="20" t="s">
        <v>80</v>
      </c>
      <c r="K45" s="40"/>
      <c r="L45" s="20">
        <f>IF(K45=I45,(IF(K45&lt;&gt;J45,C45,0)),0)</f>
        <v>0</v>
      </c>
      <c r="M45" s="41"/>
    </row>
    <row r="46" spans="2:13">
      <c r="B46" s="19">
        <v>3</v>
      </c>
      <c r="C46" s="20">
        <v>0.3</v>
      </c>
      <c r="D46" s="20" t="s">
        <v>53</v>
      </c>
      <c r="E46" s="20" t="s">
        <v>54</v>
      </c>
      <c r="F46" s="20">
        <v>7</v>
      </c>
      <c r="G46" s="20">
        <v>0.1</v>
      </c>
      <c r="H46" s="20">
        <v>-0.1</v>
      </c>
      <c r="I46" s="20">
        <f t="shared" ref="I46:I66" si="9">SUM(F46+G46)</f>
        <v>7.1</v>
      </c>
      <c r="J46" s="20">
        <f t="shared" ref="J46:J66" si="10">SUM(F46+H46)</f>
        <v>6.9</v>
      </c>
      <c r="K46" s="40"/>
      <c r="L46" s="20">
        <f t="shared" ref="L46:L66" si="11">IF(K46&gt;=(J46-M46),(IF(K46&lt;=(I46+M46),C46,0)),0)</f>
        <v>0</v>
      </c>
      <c r="M46" s="41"/>
    </row>
    <row r="47" spans="2:13">
      <c r="B47" s="19">
        <v>4</v>
      </c>
      <c r="C47" s="20">
        <v>0.3</v>
      </c>
      <c r="D47" s="20" t="s">
        <v>82</v>
      </c>
      <c r="E47" s="20" t="s">
        <v>54</v>
      </c>
      <c r="F47" s="20">
        <v>10</v>
      </c>
      <c r="G47" s="20">
        <v>0.1</v>
      </c>
      <c r="H47" s="20">
        <v>-0.1</v>
      </c>
      <c r="I47" s="20">
        <f>SUM(F47+G47)</f>
        <v>10.1</v>
      </c>
      <c r="J47" s="20">
        <f>SUM(F47+H47)</f>
        <v>9.9</v>
      </c>
      <c r="K47" s="40"/>
      <c r="L47" s="20">
        <f>IF(K47&gt;=(J47-M47),(IF(K47&lt;=(I47+M47),C47,0)),0)</f>
        <v>0</v>
      </c>
      <c r="M47" s="41"/>
    </row>
    <row r="48" spans="2:13">
      <c r="B48" s="19">
        <v>5</v>
      </c>
      <c r="C48" s="20">
        <v>0.3</v>
      </c>
      <c r="D48" s="20" t="s">
        <v>83</v>
      </c>
      <c r="E48" s="20" t="s">
        <v>54</v>
      </c>
      <c r="F48" s="20">
        <v>12</v>
      </c>
      <c r="G48" s="20">
        <v>0.1</v>
      </c>
      <c r="H48" s="20">
        <v>-0.1</v>
      </c>
      <c r="I48" s="20">
        <f>SUM(F48+G48)</f>
        <v>12.1</v>
      </c>
      <c r="J48" s="20">
        <f>SUM(F48+H48)</f>
        <v>11.9</v>
      </c>
      <c r="K48" s="40"/>
      <c r="L48" s="20">
        <f>IF(K48&gt;=(J48-M48),(IF(K48&lt;=(I48+M48),C48,0)),0)</f>
        <v>0</v>
      </c>
      <c r="M48" s="41"/>
    </row>
    <row r="49" spans="2:13">
      <c r="B49" s="19">
        <v>6</v>
      </c>
      <c r="C49" s="20">
        <v>0.3</v>
      </c>
      <c r="D49" s="20" t="s">
        <v>84</v>
      </c>
      <c r="E49" s="20" t="s">
        <v>54</v>
      </c>
      <c r="F49" s="20">
        <v>17</v>
      </c>
      <c r="G49" s="20">
        <v>0.1</v>
      </c>
      <c r="H49" s="20">
        <v>-0.1</v>
      </c>
      <c r="I49" s="20">
        <f>SUM(F49+G49)</f>
        <v>17.1</v>
      </c>
      <c r="J49" s="20">
        <f>SUM(F49+H49)</f>
        <v>16.9</v>
      </c>
      <c r="K49" s="40"/>
      <c r="L49" s="20">
        <f>IF(K49&gt;=(J49-M49),(IF(K49&lt;=(I49+M49),C49,0)),0)</f>
        <v>0</v>
      </c>
      <c r="M49" s="41"/>
    </row>
    <row r="50" spans="2:13">
      <c r="B50" s="19">
        <v>7</v>
      </c>
      <c r="C50" s="20">
        <v>0.3</v>
      </c>
      <c r="D50" s="20" t="s">
        <v>85</v>
      </c>
      <c r="E50" s="20" t="s">
        <v>54</v>
      </c>
      <c r="F50" s="20">
        <v>6</v>
      </c>
      <c r="G50" s="20">
        <v>0.1</v>
      </c>
      <c r="H50" s="20">
        <v>-0.1</v>
      </c>
      <c r="I50" s="20">
        <f>SUM(F50+G50)</f>
        <v>6.1</v>
      </c>
      <c r="J50" s="20">
        <f>SUM(F50+H50)</f>
        <v>5.9</v>
      </c>
      <c r="K50" s="40"/>
      <c r="L50" s="20">
        <f>IF(K50&gt;=(J50-M50),(IF(K50&lt;=(I50+M50),C50,0)),0)</f>
        <v>0</v>
      </c>
      <c r="M50" s="41"/>
    </row>
    <row r="51" spans="2:13">
      <c r="B51" s="19">
        <v>8</v>
      </c>
      <c r="C51" s="20">
        <v>0.3</v>
      </c>
      <c r="D51" s="20" t="s">
        <v>57</v>
      </c>
      <c r="E51" s="20" t="s">
        <v>54</v>
      </c>
      <c r="F51" s="20">
        <v>15</v>
      </c>
      <c r="G51" s="20">
        <v>0.1</v>
      </c>
      <c r="H51" s="20">
        <v>-0.1</v>
      </c>
      <c r="I51" s="20">
        <f>SUM(F51+G51)</f>
        <v>15.1</v>
      </c>
      <c r="J51" s="20">
        <f>SUM(F51+H51)</f>
        <v>14.9</v>
      </c>
      <c r="K51" s="40"/>
      <c r="L51" s="20">
        <f>IF(K51&gt;=(J51-M51),(IF(K51&lt;=(I51+M51),C51,0)),0)</f>
        <v>0</v>
      </c>
      <c r="M51" s="41"/>
    </row>
    <row r="52" spans="2:13">
      <c r="B52" s="19">
        <v>9</v>
      </c>
      <c r="C52" s="20">
        <v>0.3</v>
      </c>
      <c r="D52" s="20" t="s">
        <v>59</v>
      </c>
      <c r="E52" s="20" t="s">
        <v>54</v>
      </c>
      <c r="F52" s="20">
        <v>30</v>
      </c>
      <c r="G52" s="20">
        <v>0.1</v>
      </c>
      <c r="H52" s="20">
        <v>-0.1</v>
      </c>
      <c r="I52" s="20">
        <f>SUM(F52+G52)</f>
        <v>30.1</v>
      </c>
      <c r="J52" s="20">
        <f>SUM(F52+H52)</f>
        <v>29.9</v>
      </c>
      <c r="K52" s="40"/>
      <c r="L52" s="20">
        <f>IF(K52&gt;=(J52-M52),(IF(K52&lt;=(I52+M52),C52,0)),0)</f>
        <v>0</v>
      </c>
      <c r="M52" s="41"/>
    </row>
    <row r="53" spans="2:13">
      <c r="B53" s="19">
        <v>10</v>
      </c>
      <c r="C53" s="20">
        <v>0.3</v>
      </c>
      <c r="D53" s="20" t="s">
        <v>86</v>
      </c>
      <c r="E53" s="20" t="s">
        <v>54</v>
      </c>
      <c r="F53" s="20">
        <v>15</v>
      </c>
      <c r="G53" s="20">
        <v>0.1</v>
      </c>
      <c r="H53" s="20">
        <v>-0.1</v>
      </c>
      <c r="I53" s="20">
        <f>SUM(F53+G53)</f>
        <v>15.1</v>
      </c>
      <c r="J53" s="20">
        <f>SUM(F53+H53)</f>
        <v>14.9</v>
      </c>
      <c r="K53" s="40"/>
      <c r="L53" s="20">
        <f>IF(K53&gt;=(J53-M53),(IF(K53&lt;=(I53+M53),C53,0)),0)</f>
        <v>0</v>
      </c>
      <c r="M53" s="41"/>
    </row>
    <row r="54" spans="2:13">
      <c r="B54" s="19">
        <v>11</v>
      </c>
      <c r="C54" s="20">
        <v>0.3</v>
      </c>
      <c r="D54" s="20" t="s">
        <v>86</v>
      </c>
      <c r="E54" s="20" t="s">
        <v>54</v>
      </c>
      <c r="F54" s="20">
        <v>20</v>
      </c>
      <c r="G54" s="20">
        <v>0.1</v>
      </c>
      <c r="H54" s="20">
        <v>-0.1</v>
      </c>
      <c r="I54" s="20">
        <f>SUM(F54+G54)</f>
        <v>20.1</v>
      </c>
      <c r="J54" s="20">
        <f>SUM(F54+H54)</f>
        <v>19.9</v>
      </c>
      <c r="K54" s="40"/>
      <c r="L54" s="20">
        <f>IF(K54&gt;=(J54-M54),(IF(K54&lt;=(I54+M54),C54,0)),0)</f>
        <v>0</v>
      </c>
      <c r="M54" s="41"/>
    </row>
    <row r="55" spans="2:13">
      <c r="B55" s="19">
        <v>12</v>
      </c>
      <c r="C55" s="20">
        <v>0.3</v>
      </c>
      <c r="D55" s="20" t="s">
        <v>86</v>
      </c>
      <c r="E55" s="20" t="s">
        <v>54</v>
      </c>
      <c r="F55" s="20">
        <v>4</v>
      </c>
      <c r="G55" s="20">
        <v>0.1</v>
      </c>
      <c r="H55" s="20">
        <v>-0.1</v>
      </c>
      <c r="I55" s="20">
        <f>SUM(F55+G55)</f>
        <v>4.1</v>
      </c>
      <c r="J55" s="20">
        <f>SUM(F55+H55)</f>
        <v>3.9</v>
      </c>
      <c r="K55" s="40"/>
      <c r="L55" s="20">
        <f>IF(K55&gt;=(J55-M55),(IF(K55&lt;=(I55+M55),C55,0)),0)</f>
        <v>0</v>
      </c>
      <c r="M55" s="41"/>
    </row>
    <row r="56" spans="2:13">
      <c r="B56" s="19">
        <v>13</v>
      </c>
      <c r="C56" s="20">
        <v>0.4</v>
      </c>
      <c r="D56" s="20" t="s">
        <v>87</v>
      </c>
      <c r="E56" s="20" t="s">
        <v>54</v>
      </c>
      <c r="F56" s="20">
        <v>2</v>
      </c>
      <c r="G56" s="20">
        <v>0.1</v>
      </c>
      <c r="H56" s="20">
        <v>-0.1</v>
      </c>
      <c r="I56" s="20">
        <f>SUM(F56+G56)</f>
        <v>2.1</v>
      </c>
      <c r="J56" s="20">
        <f>SUM(F56+H56)</f>
        <v>1.9</v>
      </c>
      <c r="K56" s="40"/>
      <c r="L56" s="20">
        <f>IF(K56&gt;=(J56-M56),(IF(K56&lt;=(I56+M56),C56,0)),0)</f>
        <v>0</v>
      </c>
      <c r="M56" s="41"/>
    </row>
    <row r="57" spans="2:13">
      <c r="B57" s="19">
        <v>14</v>
      </c>
      <c r="C57" s="20">
        <v>0.3</v>
      </c>
      <c r="D57" s="20" t="s">
        <v>88</v>
      </c>
      <c r="E57" s="20" t="s">
        <v>54</v>
      </c>
      <c r="F57" s="20">
        <v>20</v>
      </c>
      <c r="G57" s="20">
        <v>0.1</v>
      </c>
      <c r="H57" s="20">
        <v>-0.1</v>
      </c>
      <c r="I57" s="20">
        <f>SUM(F57+G57)</f>
        <v>20.1</v>
      </c>
      <c r="J57" s="20">
        <f>SUM(F57+H57)</f>
        <v>19.9</v>
      </c>
      <c r="K57" s="40"/>
      <c r="L57" s="20">
        <f>IF(K57&gt;=(J57-M57),(IF(K57&lt;=(I57+M57),C57,0)),0)</f>
        <v>0</v>
      </c>
      <c r="M57" s="41"/>
    </row>
    <row r="58" spans="2:13">
      <c r="B58" s="19">
        <v>15</v>
      </c>
      <c r="C58" s="20">
        <v>0.3</v>
      </c>
      <c r="D58" s="20" t="s">
        <v>89</v>
      </c>
      <c r="E58" s="20" t="s">
        <v>54</v>
      </c>
      <c r="F58" s="20">
        <v>15</v>
      </c>
      <c r="G58" s="20">
        <v>0.1</v>
      </c>
      <c r="H58" s="20">
        <v>-0.1</v>
      </c>
      <c r="I58" s="20">
        <f>SUM(F58+G58)</f>
        <v>15.1</v>
      </c>
      <c r="J58" s="20">
        <f>SUM(F58+H58)</f>
        <v>14.9</v>
      </c>
      <c r="K58" s="40"/>
      <c r="L58" s="20">
        <f>IF(K58&gt;=(J58-M58),(IF(K58&lt;=(I58+M58),C58,0)),0)</f>
        <v>0</v>
      </c>
      <c r="M58" s="41"/>
    </row>
    <row r="59" spans="2:13">
      <c r="B59" s="19">
        <v>16</v>
      </c>
      <c r="C59" s="20">
        <v>0.3</v>
      </c>
      <c r="D59" s="20" t="s">
        <v>67</v>
      </c>
      <c r="E59" s="20" t="s">
        <v>54</v>
      </c>
      <c r="F59" s="20">
        <v>20</v>
      </c>
      <c r="G59" s="20">
        <v>0.1</v>
      </c>
      <c r="H59" s="20">
        <v>-0.1</v>
      </c>
      <c r="I59" s="20">
        <f>SUM(F59+G59)</f>
        <v>20.1</v>
      </c>
      <c r="J59" s="20">
        <f>SUM(F59+H59)</f>
        <v>19.9</v>
      </c>
      <c r="K59" s="40"/>
      <c r="L59" s="20">
        <f>IF(K59&gt;=(J59-M59),(IF(K59&lt;=(I59+M59),C59,0)),0)</f>
        <v>0</v>
      </c>
      <c r="M59" s="41"/>
    </row>
    <row r="60" spans="2:13">
      <c r="B60" s="19">
        <v>17</v>
      </c>
      <c r="C60" s="20">
        <v>0.3</v>
      </c>
      <c r="D60" s="20" t="s">
        <v>90</v>
      </c>
      <c r="E60" s="20" t="s">
        <v>60</v>
      </c>
      <c r="F60" s="20">
        <v>20</v>
      </c>
      <c r="G60" s="20">
        <v>0.1</v>
      </c>
      <c r="H60" s="20">
        <v>-0.1</v>
      </c>
      <c r="I60" s="20">
        <f>SUM(F60+G60)</f>
        <v>20.1</v>
      </c>
      <c r="J60" s="20">
        <f>SUM(F60+H60)</f>
        <v>19.9</v>
      </c>
      <c r="K60" s="40"/>
      <c r="L60" s="20">
        <f>IF(K60&gt;=(J60-M60),(IF(K60&lt;=(I60+M60),C60,0)),0)</f>
        <v>0</v>
      </c>
      <c r="M60" s="41"/>
    </row>
    <row r="61" spans="2:13">
      <c r="B61" s="19">
        <v>18</v>
      </c>
      <c r="C61" s="20">
        <v>0.3</v>
      </c>
      <c r="D61" s="20" t="s">
        <v>71</v>
      </c>
      <c r="E61" s="20" t="s">
        <v>60</v>
      </c>
      <c r="F61" s="20">
        <v>50</v>
      </c>
      <c r="G61" s="20">
        <v>0.1</v>
      </c>
      <c r="H61" s="20">
        <v>-0.1</v>
      </c>
      <c r="I61" s="20">
        <f>SUM(F61+G61)</f>
        <v>50.1</v>
      </c>
      <c r="J61" s="20">
        <f>SUM(F61+H61)</f>
        <v>49.9</v>
      </c>
      <c r="K61" s="40"/>
      <c r="L61" s="20">
        <f>IF(K61&gt;=(J61-M61),(IF(K61&lt;=(I61+M61),C61,0)),0)</f>
        <v>0</v>
      </c>
      <c r="M61" s="41"/>
    </row>
    <row r="62" spans="2:13">
      <c r="B62" s="19">
        <v>19</v>
      </c>
      <c r="C62" s="20">
        <v>0.3</v>
      </c>
      <c r="D62" s="20" t="s">
        <v>71</v>
      </c>
      <c r="E62" s="20" t="s">
        <v>60</v>
      </c>
      <c r="F62" s="20">
        <v>40</v>
      </c>
      <c r="G62" s="20">
        <v>0.1</v>
      </c>
      <c r="H62" s="20">
        <v>-0.1</v>
      </c>
      <c r="I62" s="20">
        <f>SUM(F62+G62)</f>
        <v>40.1</v>
      </c>
      <c r="J62" s="20">
        <f>SUM(F62+H62)</f>
        <v>39.9</v>
      </c>
      <c r="K62" s="40"/>
      <c r="L62" s="20">
        <f>IF(K62&gt;=(J62-M62),(IF(K62&lt;=(I62+M62),C62,0)),0)</f>
        <v>0</v>
      </c>
      <c r="M62" s="41"/>
    </row>
    <row r="63" spans="2:13">
      <c r="B63" s="19">
        <v>20</v>
      </c>
      <c r="C63" s="20">
        <v>0.4</v>
      </c>
      <c r="D63" s="20" t="s">
        <v>70</v>
      </c>
      <c r="E63" s="20" t="s">
        <v>54</v>
      </c>
      <c r="F63" s="20">
        <v>2</v>
      </c>
      <c r="G63" s="20">
        <v>0.1</v>
      </c>
      <c r="H63" s="20">
        <v>-0.1</v>
      </c>
      <c r="I63" s="20">
        <f>SUM(F63+G63)</f>
        <v>2.1</v>
      </c>
      <c r="J63" s="20">
        <f>SUM(F63+H63)</f>
        <v>1.9</v>
      </c>
      <c r="K63" s="40"/>
      <c r="L63" s="20">
        <f>IF(K63&gt;=(J63-M63),(IF(K63&lt;=(I63+M63),C63,0)),0)</f>
        <v>0</v>
      </c>
      <c r="M63" s="41"/>
    </row>
    <row r="64" spans="2:13">
      <c r="B64" s="19">
        <v>21</v>
      </c>
      <c r="C64" s="20"/>
      <c r="D64" s="20"/>
      <c r="E64" s="20"/>
      <c r="F64" s="20"/>
      <c r="G64" s="20"/>
      <c r="H64" s="20"/>
      <c r="I64" s="20">
        <f>SUM(F64+G64)</f>
        <v>0</v>
      </c>
      <c r="J64" s="20">
        <f>SUM(F64+H64)</f>
        <v>0</v>
      </c>
      <c r="K64" s="40"/>
      <c r="L64" s="20">
        <f>IF(K64&gt;=(J64-M64),(IF(K64&lt;=(I64+M64),C64,0)),0)</f>
        <v>0</v>
      </c>
      <c r="M64" s="41"/>
    </row>
    <row r="65" spans="2:13">
      <c r="B65" s="19">
        <v>22</v>
      </c>
      <c r="C65" s="20"/>
      <c r="D65" s="20"/>
      <c r="E65" s="20"/>
      <c r="F65" s="20"/>
      <c r="G65" s="20"/>
      <c r="H65" s="20"/>
      <c r="I65" s="20">
        <f>SUM(F65+G65)</f>
        <v>0</v>
      </c>
      <c r="J65" s="20">
        <f>SUM(F65+H65)</f>
        <v>0</v>
      </c>
      <c r="K65" s="40"/>
      <c r="L65" s="20">
        <f>IF(K65&gt;=(J65-M65),(IF(K65&lt;=(I65+M65),C65,0)),0)</f>
        <v>0</v>
      </c>
      <c r="M65" s="41"/>
    </row>
    <row r="66" spans="2:13">
      <c r="B66" s="62">
        <v>23</v>
      </c>
      <c r="C66" s="58"/>
      <c r="D66" s="58"/>
      <c r="E66" s="58"/>
      <c r="F66" s="58"/>
      <c r="G66" s="58"/>
      <c r="H66" s="58"/>
      <c r="I66" s="58">
        <f>SUM(F66+G66)</f>
        <v>0</v>
      </c>
      <c r="J66" s="58">
        <f>SUM(F66+H66)</f>
        <v>0</v>
      </c>
      <c r="K66" s="53"/>
      <c r="L66" s="58">
        <f>IF(K66&gt;=(J66-M66),(IF(K66&lt;=(I66+M66),C66,0)),0)</f>
        <v>0</v>
      </c>
      <c r="M66" s="42"/>
    </row>
    <row r="67" spans="2:13">
      <c r="B67" s="23" t="s">
        <v>75</v>
      </c>
      <c r="C67" s="24">
        <f>SUM(C44:C66)</f>
        <v>7</v>
      </c>
      <c r="D67" s="24"/>
      <c r="E67" s="24"/>
      <c r="F67" s="24"/>
      <c r="G67" s="24"/>
      <c r="H67" s="24"/>
      <c r="I67" s="24"/>
      <c r="J67" s="24"/>
      <c r="K67" s="44"/>
      <c r="L67" s="24">
        <f>SUM(L44:L66)</f>
        <v>0</v>
      </c>
      <c r="M67" s="45"/>
    </row>
    <row r="68" spans="2:13">
      <c r="B68" s="25"/>
      <c r="C68" s="26"/>
      <c r="D68" s="26"/>
      <c r="E68" s="26"/>
      <c r="F68" s="26"/>
      <c r="G68" s="26"/>
      <c r="H68" s="26"/>
      <c r="I68" s="26"/>
      <c r="J68" s="26"/>
      <c r="K68" s="46"/>
      <c r="L68" s="26"/>
      <c r="M68" s="26"/>
    </row>
    <row r="69" spans="2:13">
      <c r="B69" s="99" t="s">
        <v>91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39"/>
    </row>
    <row r="70" spans="2:13">
      <c r="B70" s="19">
        <v>1</v>
      </c>
      <c r="C70" s="20">
        <v>0.45</v>
      </c>
      <c r="D70" s="20" t="s">
        <v>63</v>
      </c>
      <c r="E70" s="20" t="s">
        <v>92</v>
      </c>
      <c r="F70" s="20" t="s">
        <v>93</v>
      </c>
      <c r="G70" s="20">
        <v>0.8</v>
      </c>
      <c r="H70" s="29">
        <v>1e-8</v>
      </c>
      <c r="I70" s="20">
        <f t="shared" ref="I70:I76" si="12">SUM(G70)</f>
        <v>0.8</v>
      </c>
      <c r="J70" s="29">
        <f t="shared" ref="J70:J76" si="13">SUM(H70)</f>
        <v>1e-8</v>
      </c>
      <c r="K70" s="40"/>
      <c r="L70" s="20">
        <f t="shared" ref="L70:L77" si="14">IF(K70&gt;=(J70-M70),(IF(K70&lt;=(I70+M70),C70,0)),0)</f>
        <v>0</v>
      </c>
      <c r="M70" s="41"/>
    </row>
    <row r="71" spans="2:13">
      <c r="B71" s="19">
        <v>2</v>
      </c>
      <c r="C71" s="20">
        <v>0.45</v>
      </c>
      <c r="D71" s="20" t="s">
        <v>63</v>
      </c>
      <c r="E71" s="20" t="s">
        <v>92</v>
      </c>
      <c r="F71" s="20" t="s">
        <v>93</v>
      </c>
      <c r="G71" s="20">
        <v>0.8</v>
      </c>
      <c r="H71" s="29">
        <v>1e-8</v>
      </c>
      <c r="I71" s="20">
        <f>SUM(G71)</f>
        <v>0.8</v>
      </c>
      <c r="J71" s="29">
        <f>SUM(H71)</f>
        <v>1e-8</v>
      </c>
      <c r="K71" s="40"/>
      <c r="L71" s="20">
        <f>IF(K71&gt;=(J71-M71),(IF(K71&lt;=(I71+M71),C71,0)),0)</f>
        <v>0</v>
      </c>
      <c r="M71" s="41"/>
    </row>
    <row r="72" spans="2:13">
      <c r="B72" s="19">
        <v>3</v>
      </c>
      <c r="C72" s="20">
        <v>0.45</v>
      </c>
      <c r="D72" s="20" t="s">
        <v>74</v>
      </c>
      <c r="E72" s="20" t="s">
        <v>92</v>
      </c>
      <c r="F72" s="20" t="s">
        <v>93</v>
      </c>
      <c r="G72" s="20">
        <v>0.8</v>
      </c>
      <c r="H72" s="29">
        <v>1e-8</v>
      </c>
      <c r="I72" s="20">
        <f>SUM(G72)</f>
        <v>0.8</v>
      </c>
      <c r="J72" s="29">
        <f>SUM(H72)</f>
        <v>1e-8</v>
      </c>
      <c r="K72" s="40"/>
      <c r="L72" s="20">
        <f>IF(K72&gt;=(J72-M72),(IF(K72&lt;=(I72+M72),C72,0)),0)</f>
        <v>0</v>
      </c>
      <c r="M72" s="41"/>
    </row>
    <row r="73" spans="2:13">
      <c r="B73" s="19">
        <v>4</v>
      </c>
      <c r="C73" s="20">
        <v>0.45</v>
      </c>
      <c r="D73" s="20" t="s">
        <v>88</v>
      </c>
      <c r="E73" s="20" t="s">
        <v>92</v>
      </c>
      <c r="F73" s="20" t="s">
        <v>93</v>
      </c>
      <c r="G73" s="20">
        <v>0.8</v>
      </c>
      <c r="H73" s="29">
        <v>1e-8</v>
      </c>
      <c r="I73" s="20">
        <f>SUM(G73)</f>
        <v>0.8</v>
      </c>
      <c r="J73" s="29">
        <f>SUM(H73)</f>
        <v>1e-8</v>
      </c>
      <c r="K73" s="40"/>
      <c r="L73" s="20">
        <f>IF(K73&gt;=(J73-M73),(IF(K73&lt;=(I73+M73),C73,0)),0)</f>
        <v>0</v>
      </c>
      <c r="M73" s="41"/>
    </row>
    <row r="74" spans="2:13">
      <c r="B74" s="19">
        <v>5</v>
      </c>
      <c r="C74" s="20">
        <v>0.4</v>
      </c>
      <c r="D74" s="20" t="s">
        <v>58</v>
      </c>
      <c r="E74" s="20" t="s">
        <v>92</v>
      </c>
      <c r="F74" s="20" t="s">
        <v>93</v>
      </c>
      <c r="G74" s="20">
        <v>0.8</v>
      </c>
      <c r="H74" s="29">
        <v>1e-8</v>
      </c>
      <c r="I74" s="20">
        <f>SUM(G74)</f>
        <v>0.8</v>
      </c>
      <c r="J74" s="29">
        <f>SUM(H74)</f>
        <v>1e-8</v>
      </c>
      <c r="K74" s="40"/>
      <c r="L74" s="20">
        <f>IF(K74&gt;=(J74-M74),(IF(K74&lt;=(I74+M74),C74,0)),0)</f>
        <v>0</v>
      </c>
      <c r="M74" s="41"/>
    </row>
    <row r="75" spans="2:13">
      <c r="B75" s="19">
        <v>6</v>
      </c>
      <c r="C75" s="20">
        <v>0.4</v>
      </c>
      <c r="D75" s="20" t="s">
        <v>67</v>
      </c>
      <c r="E75" s="20" t="s">
        <v>92</v>
      </c>
      <c r="F75" s="20" t="s">
        <v>93</v>
      </c>
      <c r="G75" s="20">
        <v>0.8</v>
      </c>
      <c r="H75" s="29">
        <v>1e-8</v>
      </c>
      <c r="I75" s="20">
        <f>SUM(G75)</f>
        <v>0.8</v>
      </c>
      <c r="J75" s="29">
        <f>SUM(H75)</f>
        <v>1e-8</v>
      </c>
      <c r="K75" s="40"/>
      <c r="L75" s="20">
        <f>IF(K75&gt;=(J75-M75),(IF(K75&lt;=(I75+M75),C75,0)),0)</f>
        <v>0</v>
      </c>
      <c r="M75" s="41"/>
    </row>
    <row r="76" spans="2:13">
      <c r="B76" s="19">
        <v>7</v>
      </c>
      <c r="C76" s="20">
        <v>0.4</v>
      </c>
      <c r="D76" s="20" t="s">
        <v>72</v>
      </c>
      <c r="E76" s="20" t="s">
        <v>92</v>
      </c>
      <c r="F76" s="20" t="s">
        <v>93</v>
      </c>
      <c r="G76" s="20">
        <v>0.8</v>
      </c>
      <c r="H76" s="29">
        <v>1e-8</v>
      </c>
      <c r="I76" s="20">
        <f>SUM(G76)</f>
        <v>0.8</v>
      </c>
      <c r="J76" s="29">
        <f>SUM(H76)</f>
        <v>1e-8</v>
      </c>
      <c r="K76" s="40"/>
      <c r="L76" s="20">
        <f>IF(K76&gt;=(J76-M76),(IF(K76&lt;=(I76+M76),C76,0)),0)</f>
        <v>0</v>
      </c>
      <c r="M76" s="41"/>
    </row>
    <row r="77" spans="2:13">
      <c r="B77" s="62">
        <v>8</v>
      </c>
      <c r="C77" s="58"/>
      <c r="D77" s="58"/>
      <c r="E77" s="58"/>
      <c r="F77" s="58"/>
      <c r="G77" s="58"/>
      <c r="H77" s="58"/>
      <c r="I77" s="58"/>
      <c r="J77" s="58"/>
      <c r="K77" s="53"/>
      <c r="L77" s="58">
        <f>IF(K77&gt;=(J77-M77),(IF(K77&lt;=(I77+M77),C77,0)),0)</f>
        <v>0</v>
      </c>
      <c r="M77" s="42"/>
    </row>
    <row r="78" spans="2:13">
      <c r="B78" s="23" t="s">
        <v>75</v>
      </c>
      <c r="C78" s="24">
        <f>SUM(C70:C77)</f>
        <v>3</v>
      </c>
      <c r="D78" s="24"/>
      <c r="E78" s="24"/>
      <c r="F78" s="24"/>
      <c r="G78" s="24"/>
      <c r="H78" s="24"/>
      <c r="I78" s="24"/>
      <c r="J78" s="24"/>
      <c r="K78" s="44"/>
      <c r="L78" s="24">
        <f>SUM(L70:L77)</f>
        <v>0</v>
      </c>
      <c r="M78" s="45"/>
    </row>
    <row r="79" spans="2:13">
      <c r="B79" s="25"/>
      <c r="C79" s="26"/>
      <c r="D79" s="26"/>
      <c r="E79" s="26"/>
      <c r="F79" s="26"/>
      <c r="G79" s="26"/>
      <c r="H79" s="26"/>
      <c r="I79" s="26"/>
      <c r="J79" s="26"/>
      <c r="K79" s="46"/>
      <c r="L79" s="26"/>
      <c r="M79" s="26"/>
    </row>
    <row r="80" spans="2:13">
      <c r="B80" s="17" t="s">
        <v>94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39"/>
    </row>
    <row r="81" spans="2:13">
      <c r="B81" s="19"/>
      <c r="C81" s="20"/>
      <c r="D81" s="20"/>
      <c r="E81" s="20"/>
      <c r="F81" s="20"/>
      <c r="G81" s="20">
        <v>1</v>
      </c>
      <c r="H81" s="20">
        <v>2</v>
      </c>
      <c r="I81" s="20">
        <v>3</v>
      </c>
      <c r="J81" s="20">
        <v>4</v>
      </c>
      <c r="K81" s="20">
        <v>5</v>
      </c>
      <c r="L81" s="20"/>
      <c r="M81" s="41"/>
    </row>
    <row r="82" spans="2:23">
      <c r="B82" s="19">
        <v>1</v>
      </c>
      <c r="C82" s="20">
        <v>0.8</v>
      </c>
      <c r="D82" s="47" t="s">
        <v>95</v>
      </c>
      <c r="E82" s="48"/>
      <c r="F82" s="49"/>
      <c r="G82" s="40"/>
      <c r="H82" s="40"/>
      <c r="I82" s="40"/>
      <c r="J82" s="40"/>
      <c r="K82" s="40"/>
      <c r="L82" s="20">
        <f t="shared" ref="L82:L87" si="15">SUM(C82*(W82-V82-U82)/30)</f>
        <v>0</v>
      </c>
      <c r="M82" s="41"/>
      <c r="O82">
        <f t="shared" ref="O82:S87" si="16">SUM(10-G82)</f>
        <v>10</v>
      </c>
      <c r="P82">
        <f t="shared" ref="P82:S82" si="17">SUM(10-H82)</f>
        <v>10</v>
      </c>
      <c r="Q82">
        <f>SUM(10-I82)</f>
        <v>10</v>
      </c>
      <c r="R82">
        <f>SUM(10-J82)</f>
        <v>10</v>
      </c>
      <c r="S82">
        <f>SUM(10-K82)</f>
        <v>10</v>
      </c>
      <c r="T82">
        <f t="shared" ref="T82:T87" si="18">MAX(O82:S82)</f>
        <v>10</v>
      </c>
      <c r="U82">
        <f t="shared" ref="U82:U87" si="19">SUM(10-T82)</f>
        <v>0</v>
      </c>
      <c r="V82">
        <f t="shared" ref="V82:V87" si="20">MAX(G82:K82)</f>
        <v>0</v>
      </c>
      <c r="W82">
        <f t="shared" ref="W82:W87" si="21">SUM(G82:K82)</f>
        <v>0</v>
      </c>
    </row>
    <row r="83" spans="2:23">
      <c r="B83" s="19">
        <v>2</v>
      </c>
      <c r="C83" s="20">
        <v>0.5</v>
      </c>
      <c r="D83" s="47" t="s">
        <v>96</v>
      </c>
      <c r="E83" s="48"/>
      <c r="F83" s="49"/>
      <c r="G83" s="40"/>
      <c r="H83" s="40"/>
      <c r="I83" s="40"/>
      <c r="J83" s="40"/>
      <c r="K83" s="40"/>
      <c r="L83" s="20">
        <f>SUM(C83*(W83-V83-U83)/30)</f>
        <v>0</v>
      </c>
      <c r="M83" s="41"/>
      <c r="O83">
        <f t="shared" ref="O83:S83" si="22">SUM(10-G83)</f>
        <v>10</v>
      </c>
      <c r="P83">
        <f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9">
        <v>3</v>
      </c>
      <c r="C84" s="20">
        <v>0.6</v>
      </c>
      <c r="D84" s="47" t="s">
        <v>97</v>
      </c>
      <c r="E84" s="48"/>
      <c r="F84" s="49"/>
      <c r="G84" s="40"/>
      <c r="H84" s="40"/>
      <c r="I84" s="40"/>
      <c r="J84" s="40"/>
      <c r="K84" s="40"/>
      <c r="L84" s="20">
        <f>SUM(C84*(W84-V84-U84)/30)</f>
        <v>0</v>
      </c>
      <c r="M84" s="41"/>
      <c r="O84">
        <f t="shared" ref="O84:S84" si="23"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9">
        <v>4</v>
      </c>
      <c r="C85" s="20">
        <v>0.7</v>
      </c>
      <c r="D85" s="47" t="s">
        <v>98</v>
      </c>
      <c r="E85" s="48"/>
      <c r="F85" s="49"/>
      <c r="G85" s="40"/>
      <c r="H85" s="40"/>
      <c r="I85" s="40"/>
      <c r="J85" s="40"/>
      <c r="K85" s="40"/>
      <c r="L85" s="20">
        <f>SUM(C85*(W85-V85-U85)/30)</f>
        <v>0</v>
      </c>
      <c r="M85" s="41"/>
      <c r="O85">
        <f t="shared" ref="O85:S85" si="24"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50">
        <v>5</v>
      </c>
      <c r="C86" s="20">
        <v>0.7</v>
      </c>
      <c r="D86" s="47" t="s">
        <v>99</v>
      </c>
      <c r="E86" s="51"/>
      <c r="F86" s="52"/>
      <c r="G86" s="40"/>
      <c r="H86" s="40"/>
      <c r="I86" s="40"/>
      <c r="J86" s="40"/>
      <c r="K86" s="40"/>
      <c r="L86" s="20">
        <f>SUM(C86*(W86-V86-U86)/30)</f>
        <v>0</v>
      </c>
      <c r="M86" s="41"/>
      <c r="O86">
        <f t="shared" ref="O86:S86" si="25"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50">
        <v>6</v>
      </c>
      <c r="C87" s="20"/>
      <c r="D87" s="21"/>
      <c r="E87" s="48"/>
      <c r="F87" s="49"/>
      <c r="G87" s="53"/>
      <c r="H87" s="53"/>
      <c r="I87" s="53"/>
      <c r="J87" s="53"/>
      <c r="K87" s="53"/>
      <c r="L87" s="20">
        <f>SUM(C87*(W87-V87-U87)/30)</f>
        <v>0</v>
      </c>
      <c r="M87" s="41"/>
      <c r="O87">
        <f t="shared" ref="O87:S87" si="26"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50"/>
      <c r="C88" s="20"/>
      <c r="D88" s="54"/>
      <c r="E88" s="20"/>
      <c r="F88" s="20"/>
      <c r="G88" s="55" t="s">
        <v>100</v>
      </c>
      <c r="H88" s="55" t="s">
        <v>100</v>
      </c>
      <c r="I88" s="55" t="s">
        <v>100</v>
      </c>
      <c r="J88" s="55" t="s">
        <v>100</v>
      </c>
      <c r="K88" s="55" t="s">
        <v>100</v>
      </c>
      <c r="L88" s="20"/>
      <c r="M88" s="41"/>
    </row>
    <row r="89" spans="2:13">
      <c r="B89" s="50"/>
      <c r="C89" s="20"/>
      <c r="D89" s="20"/>
      <c r="E89" s="20"/>
      <c r="F89" s="20"/>
      <c r="G89" s="56"/>
      <c r="H89" s="56"/>
      <c r="I89" s="56"/>
      <c r="J89" s="56"/>
      <c r="K89" s="56"/>
      <c r="L89" s="20"/>
      <c r="M89" s="81"/>
    </row>
    <row r="90" spans="2:13">
      <c r="B90" s="50"/>
      <c r="C90" s="20"/>
      <c r="D90" s="20"/>
      <c r="E90" s="20"/>
      <c r="F90" s="20"/>
      <c r="G90" s="56"/>
      <c r="H90" s="56"/>
      <c r="I90" s="56"/>
      <c r="J90" s="56"/>
      <c r="K90" s="56"/>
      <c r="L90" s="20"/>
      <c r="M90" s="81"/>
    </row>
    <row r="91" spans="2:13">
      <c r="B91" s="50"/>
      <c r="C91" s="20"/>
      <c r="D91" s="20"/>
      <c r="E91" s="20"/>
      <c r="F91" s="20"/>
      <c r="G91" s="56"/>
      <c r="H91" s="56"/>
      <c r="I91" s="56"/>
      <c r="J91" s="56"/>
      <c r="K91" s="56"/>
      <c r="L91" s="20"/>
      <c r="M91" s="81"/>
    </row>
    <row r="92" spans="2:13">
      <c r="B92" s="50"/>
      <c r="C92" s="20"/>
      <c r="D92" s="20"/>
      <c r="E92" s="20"/>
      <c r="F92" s="20"/>
      <c r="G92" s="56"/>
      <c r="H92" s="56"/>
      <c r="I92" s="56"/>
      <c r="J92" s="56"/>
      <c r="K92" s="56"/>
      <c r="L92" s="20"/>
      <c r="M92" s="81"/>
    </row>
    <row r="93" spans="2:13">
      <c r="B93" s="57"/>
      <c r="C93" s="58"/>
      <c r="D93" s="58"/>
      <c r="E93" s="58"/>
      <c r="F93" s="58"/>
      <c r="G93" s="59"/>
      <c r="H93" s="59"/>
      <c r="I93" s="59"/>
      <c r="J93" s="59"/>
      <c r="K93" s="59"/>
      <c r="L93" s="58"/>
      <c r="M93" s="82"/>
    </row>
    <row r="94" spans="2:13">
      <c r="B94" s="60" t="s">
        <v>75</v>
      </c>
      <c r="C94" s="61">
        <f>SUM(C82:C93)</f>
        <v>3.3</v>
      </c>
      <c r="D94" s="24"/>
      <c r="E94" s="24"/>
      <c r="F94" s="24"/>
      <c r="G94" s="24"/>
      <c r="H94" s="24"/>
      <c r="I94" s="24"/>
      <c r="J94" s="24"/>
      <c r="K94" s="24"/>
      <c r="L94" s="61">
        <f>SUM(L82:L93)</f>
        <v>0</v>
      </c>
      <c r="M94" s="83"/>
    </row>
    <row r="95" spans="2:13"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1"/>
    </row>
    <row r="96" spans="2:13">
      <c r="B96" s="17" t="s">
        <v>101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39"/>
    </row>
    <row r="97" spans="2:13">
      <c r="B97" s="62">
        <v>1</v>
      </c>
      <c r="C97" s="58">
        <v>2</v>
      </c>
      <c r="D97" s="63" t="s">
        <v>102</v>
      </c>
      <c r="E97" s="64"/>
      <c r="F97" s="65"/>
      <c r="G97" s="58"/>
      <c r="H97" s="58"/>
      <c r="I97" s="58"/>
      <c r="J97" s="58"/>
      <c r="K97" s="53"/>
      <c r="L97" s="58">
        <f>IF(K97=0,C97,(K97-1)*(-C97))</f>
        <v>2</v>
      </c>
      <c r="M97" s="42"/>
    </row>
    <row r="98" s="1" customFormat="1" spans="2:13">
      <c r="B98" s="66" t="s">
        <v>75</v>
      </c>
      <c r="C98" s="61">
        <f>SUM(C97)</f>
        <v>2</v>
      </c>
      <c r="D98" s="67"/>
      <c r="E98" s="67"/>
      <c r="F98" s="67"/>
      <c r="G98" s="68"/>
      <c r="H98" s="68"/>
      <c r="I98" s="68"/>
      <c r="J98" s="68"/>
      <c r="K98" s="68"/>
      <c r="L98" s="61">
        <f>SUM(L97)</f>
        <v>2</v>
      </c>
      <c r="M98" s="83"/>
    </row>
    <row r="99" s="1" customFormat="1" spans="2:12">
      <c r="B99" s="26"/>
      <c r="C99" s="26"/>
      <c r="G99" s="69"/>
      <c r="H99" s="69"/>
      <c r="I99" s="69"/>
      <c r="J99" s="69"/>
      <c r="K99" s="69"/>
      <c r="L99" s="26"/>
    </row>
    <row r="100" spans="2:13">
      <c r="B100" s="66"/>
      <c r="C100" s="61"/>
      <c r="D100" s="70"/>
      <c r="E100" s="24"/>
      <c r="F100" s="24"/>
      <c r="G100" s="24"/>
      <c r="H100" s="24"/>
      <c r="I100" s="84"/>
      <c r="J100" s="70" t="s">
        <v>103</v>
      </c>
      <c r="K100" s="84"/>
      <c r="L100" s="70" t="s">
        <v>104</v>
      </c>
      <c r="M100" s="45"/>
    </row>
    <row r="101" spans="2:13">
      <c r="B101" s="71"/>
      <c r="C101" s="72"/>
      <c r="D101" s="73" t="s">
        <v>105</v>
      </c>
      <c r="E101" s="74"/>
      <c r="F101" s="74"/>
      <c r="G101" s="74"/>
      <c r="H101" s="74"/>
      <c r="I101" s="85"/>
      <c r="J101" s="86"/>
      <c r="K101" s="87"/>
      <c r="L101" s="86"/>
      <c r="M101" s="88"/>
    </row>
    <row r="102" spans="2:13">
      <c r="B102" s="19"/>
      <c r="C102" s="20"/>
      <c r="D102" s="75" t="s">
        <v>106</v>
      </c>
      <c r="E102" s="76"/>
      <c r="F102" s="76"/>
      <c r="G102" s="76"/>
      <c r="H102" s="76"/>
      <c r="I102" s="89"/>
      <c r="J102" s="90"/>
      <c r="K102" s="91"/>
      <c r="L102" s="90"/>
      <c r="M102" s="92"/>
    </row>
    <row r="103" spans="2:13">
      <c r="B103" s="19"/>
      <c r="C103" s="20"/>
      <c r="D103" s="75" t="s">
        <v>107</v>
      </c>
      <c r="E103" s="76"/>
      <c r="F103" s="76"/>
      <c r="G103" s="76"/>
      <c r="H103" s="76"/>
      <c r="I103" s="89"/>
      <c r="J103" s="90"/>
      <c r="K103" s="91"/>
      <c r="L103" s="90"/>
      <c r="M103" s="92"/>
    </row>
    <row r="104" spans="2:13">
      <c r="B104" s="77"/>
      <c r="C104" s="78"/>
      <c r="D104" s="79" t="s">
        <v>108</v>
      </c>
      <c r="E104" s="80"/>
      <c r="F104" s="80"/>
      <c r="G104" s="80"/>
      <c r="H104" s="80"/>
      <c r="I104" s="93"/>
      <c r="J104" s="94"/>
      <c r="K104" s="95"/>
      <c r="L104" s="94"/>
      <c r="M104" s="96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B1:M2"/>
    <mergeCell ref="D88:F93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AB91"/>
  <sheetViews>
    <sheetView tabSelected="1" topLeftCell="A64" workbookViewId="0">
      <selection activeCell="C88" sqref="C88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30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1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2"/>
      <c r="L3" s="33"/>
      <c r="M3" s="34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5" t="s">
        <v>38</v>
      </c>
      <c r="J4" s="35"/>
      <c r="K4" s="36" t="s">
        <v>39</v>
      </c>
      <c r="L4" s="14">
        <f>SUM(L7:L84)</f>
        <v>3</v>
      </c>
      <c r="M4" s="37"/>
    </row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38" t="s">
        <v>110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39"/>
    </row>
    <row r="8" spans="2:13">
      <c r="B8" s="19">
        <v>1</v>
      </c>
      <c r="C8" s="20">
        <v>1</v>
      </c>
      <c r="D8" s="21" t="s">
        <v>53</v>
      </c>
      <c r="E8" s="20" t="s">
        <v>54</v>
      </c>
      <c r="F8" s="21">
        <v>11</v>
      </c>
      <c r="G8" s="21">
        <v>0.11</v>
      </c>
      <c r="H8" s="21">
        <v>0.08</v>
      </c>
      <c r="I8" s="20">
        <f>SUM(F8+G8)</f>
        <v>11.11</v>
      </c>
      <c r="J8" s="20">
        <f>SUM(F8+H8)</f>
        <v>11.08</v>
      </c>
      <c r="K8" s="40"/>
      <c r="L8" s="20">
        <f>IF(K8&gt;=(J8-M8),(IF(K8&lt;=(I8+M8),C8,0)),0)</f>
        <v>0</v>
      </c>
      <c r="M8" s="41"/>
    </row>
    <row r="9" spans="2:13">
      <c r="B9" s="19">
        <v>2</v>
      </c>
      <c r="C9" s="20">
        <v>1</v>
      </c>
      <c r="D9" s="21" t="s">
        <v>58</v>
      </c>
      <c r="E9" s="20" t="s">
        <v>54</v>
      </c>
      <c r="F9" s="21">
        <v>22</v>
      </c>
      <c r="G9" s="21">
        <v>0.08</v>
      </c>
      <c r="H9" s="21">
        <v>0.06</v>
      </c>
      <c r="I9" s="20">
        <v>22.08</v>
      </c>
      <c r="J9" s="20">
        <v>22.06</v>
      </c>
      <c r="K9" s="40"/>
      <c r="L9" s="20">
        <f t="shared" ref="L9:L40" si="0">IF(K9&gt;=(J9-M9),(IF(K9&lt;=(I9+M9),C9,0)),0)</f>
        <v>0</v>
      </c>
      <c r="M9" s="41"/>
    </row>
    <row r="10" spans="2:13">
      <c r="B10" s="19">
        <v>3</v>
      </c>
      <c r="C10" s="20">
        <v>1</v>
      </c>
      <c r="D10" s="21" t="s">
        <v>89</v>
      </c>
      <c r="E10" s="20" t="s">
        <v>54</v>
      </c>
      <c r="F10" s="21">
        <v>8</v>
      </c>
      <c r="G10" s="21">
        <v>0.02</v>
      </c>
      <c r="H10" s="21">
        <v>-0.02</v>
      </c>
      <c r="I10" s="20">
        <f t="shared" ref="I10:I40" si="1">SUM(F10+G10)</f>
        <v>8.02</v>
      </c>
      <c r="J10" s="20">
        <f t="shared" ref="J10:J40" si="2">SUM(F10+H10)</f>
        <v>7.98</v>
      </c>
      <c r="K10" s="40"/>
      <c r="L10" s="20">
        <f>IF(K10&gt;=(J10-M10),(IF(K10&lt;=(I10+M10),C10,0)),0)</f>
        <v>0</v>
      </c>
      <c r="M10" s="42"/>
    </row>
    <row r="11" spans="2:28">
      <c r="B11" s="19">
        <v>4</v>
      </c>
      <c r="C11" s="20">
        <v>1</v>
      </c>
      <c r="D11" s="21" t="s">
        <v>111</v>
      </c>
      <c r="E11" s="20" t="s">
        <v>54</v>
      </c>
      <c r="F11" s="21">
        <v>5</v>
      </c>
      <c r="G11" s="21">
        <v>0.06</v>
      </c>
      <c r="H11" s="21">
        <v>0.03</v>
      </c>
      <c r="I11" s="20">
        <f>SUM(F11+G11)</f>
        <v>5.06</v>
      </c>
      <c r="J11" s="20">
        <f>SUM(F11+H11)</f>
        <v>5.03</v>
      </c>
      <c r="K11" s="40"/>
      <c r="L11" s="21">
        <f>IF(K11&gt;=(J11-M11),(IF(K11&lt;=(I11+M11),C11,0)),0)</f>
        <v>0</v>
      </c>
      <c r="M11" s="4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2:28">
      <c r="B12" s="19">
        <v>5</v>
      </c>
      <c r="C12" s="20">
        <v>1</v>
      </c>
      <c r="D12" s="21" t="s">
        <v>112</v>
      </c>
      <c r="E12" s="20" t="s">
        <v>54</v>
      </c>
      <c r="F12" s="21">
        <v>34</v>
      </c>
      <c r="G12" s="21">
        <v>0.02</v>
      </c>
      <c r="H12" s="21">
        <v>-0.02</v>
      </c>
      <c r="I12" s="20">
        <f>SUM(F12+G12)</f>
        <v>34.02</v>
      </c>
      <c r="J12" s="20">
        <f>SUM(F12+H12)</f>
        <v>33.98</v>
      </c>
      <c r="K12" s="40"/>
      <c r="L12" s="21">
        <f>IF(K12&gt;=(J12-M12),(IF(K12&lt;=(I12+M12),C12,0)),0)</f>
        <v>0</v>
      </c>
      <c r="M12" s="4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6"/>
      <c r="Z12" s="26"/>
      <c r="AA12" s="26"/>
      <c r="AB12" s="1"/>
    </row>
    <row r="13" spans="2:28">
      <c r="B13" s="19">
        <v>6</v>
      </c>
      <c r="C13" s="20">
        <v>1</v>
      </c>
      <c r="D13" s="21" t="s">
        <v>113</v>
      </c>
      <c r="E13" s="20" t="s">
        <v>54</v>
      </c>
      <c r="F13" s="21">
        <v>88</v>
      </c>
      <c r="G13" s="21">
        <v>-0.01</v>
      </c>
      <c r="H13" s="21">
        <v>-0.04</v>
      </c>
      <c r="I13" s="20">
        <f>SUM(F13+G13)</f>
        <v>87.99</v>
      </c>
      <c r="J13" s="20">
        <f>SUM(F13+H13)</f>
        <v>87.96</v>
      </c>
      <c r="K13" s="40"/>
      <c r="L13" s="21">
        <f>IF(K13&gt;=(J13-M13),(IF(K13&lt;=(I13+M13),C13,0)),0)</f>
        <v>0</v>
      </c>
      <c r="M13" s="4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2:28">
      <c r="B14" s="19">
        <v>7</v>
      </c>
      <c r="C14" s="20">
        <v>1</v>
      </c>
      <c r="D14" s="21" t="s">
        <v>112</v>
      </c>
      <c r="E14" s="20" t="s">
        <v>54</v>
      </c>
      <c r="F14" s="21">
        <v>35</v>
      </c>
      <c r="G14" s="21">
        <v>0.05</v>
      </c>
      <c r="H14" s="21">
        <v>0.02</v>
      </c>
      <c r="I14" s="20">
        <f>SUM(F14+G14)</f>
        <v>35.05</v>
      </c>
      <c r="J14" s="20">
        <f>SUM(F14+H14)</f>
        <v>35.02</v>
      </c>
      <c r="K14" s="40"/>
      <c r="L14" s="21">
        <f>IF(K14&gt;=(J14-M14),(IF(K14&lt;=(I14+M14),C14,0)),0)</f>
        <v>0</v>
      </c>
      <c r="M14" s="4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2:13">
      <c r="B15" s="19">
        <v>8</v>
      </c>
      <c r="C15" s="20">
        <v>1</v>
      </c>
      <c r="D15" s="21" t="s">
        <v>90</v>
      </c>
      <c r="E15" s="20" t="s">
        <v>54</v>
      </c>
      <c r="F15" s="21">
        <v>10</v>
      </c>
      <c r="G15" s="21">
        <v>0.07</v>
      </c>
      <c r="H15" s="21">
        <v>0.03</v>
      </c>
      <c r="I15" s="20">
        <f>SUM(F15+G15)</f>
        <v>10.07</v>
      </c>
      <c r="J15" s="20">
        <f>SUM(F15+H15)</f>
        <v>10.03</v>
      </c>
      <c r="K15" s="40"/>
      <c r="L15" s="20">
        <f>IF(K15&gt;=(J15-M15),(IF(K15&lt;=(I15+M15),C15,0)),0)</f>
        <v>0</v>
      </c>
      <c r="M15" s="43"/>
    </row>
    <row r="16" spans="2:13">
      <c r="B16" s="19">
        <v>9</v>
      </c>
      <c r="C16" s="20">
        <v>1</v>
      </c>
      <c r="D16" s="21" t="s">
        <v>114</v>
      </c>
      <c r="E16" s="20" t="s">
        <v>54</v>
      </c>
      <c r="F16" s="21">
        <v>38</v>
      </c>
      <c r="G16" s="21">
        <v>0.07</v>
      </c>
      <c r="H16" s="21">
        <v>0.04</v>
      </c>
      <c r="I16" s="20">
        <f>SUM(F16+G16)</f>
        <v>38.07</v>
      </c>
      <c r="J16" s="20">
        <f>SUM(F16+H16)</f>
        <v>38.04</v>
      </c>
      <c r="K16" s="40"/>
      <c r="L16" s="20">
        <f>IF(K16&gt;=(J16-M16),(IF(K16&lt;=(I16+M16),C16,0)),0)</f>
        <v>0</v>
      </c>
      <c r="M16" s="41"/>
    </row>
    <row r="17" spans="2:13">
      <c r="B17" s="19">
        <v>10</v>
      </c>
      <c r="C17" s="20">
        <v>1</v>
      </c>
      <c r="D17" s="21" t="s">
        <v>74</v>
      </c>
      <c r="E17" s="20" t="s">
        <v>60</v>
      </c>
      <c r="F17" s="21">
        <v>10</v>
      </c>
      <c r="G17" s="21">
        <v>0.015</v>
      </c>
      <c r="H17" s="21">
        <v>0</v>
      </c>
      <c r="I17" s="20">
        <f>SUM(F17+G17)</f>
        <v>10.015</v>
      </c>
      <c r="J17" s="20">
        <f>SUM(F17+H17)</f>
        <v>10</v>
      </c>
      <c r="K17" s="40"/>
      <c r="L17" s="20">
        <f>IF(K17&gt;=(J17-M17),(IF(K17&lt;=(I17+M17),C17,0)),0)</f>
        <v>0</v>
      </c>
      <c r="M17" s="41"/>
    </row>
    <row r="18" spans="2:13">
      <c r="B18" s="19">
        <v>11</v>
      </c>
      <c r="C18" s="20">
        <v>1</v>
      </c>
      <c r="D18" s="21" t="s">
        <v>115</v>
      </c>
      <c r="E18" s="20" t="s">
        <v>54</v>
      </c>
      <c r="F18" s="21">
        <v>98</v>
      </c>
      <c r="G18" s="21">
        <v>-0.06</v>
      </c>
      <c r="H18" s="21">
        <v>-0.1</v>
      </c>
      <c r="I18" s="20">
        <f>SUM(F18+G18)</f>
        <v>97.94</v>
      </c>
      <c r="J18" s="20">
        <f>SUM(F18+H18)</f>
        <v>97.9</v>
      </c>
      <c r="K18" s="40"/>
      <c r="L18" s="20">
        <f>IF(K18&gt;=(J18-M18),(IF(K18&lt;=(I18+M18),C18,0)),0)</f>
        <v>0</v>
      </c>
      <c r="M18" s="41"/>
    </row>
    <row r="19" spans="2:13">
      <c r="B19" s="19">
        <v>12</v>
      </c>
      <c r="C19" s="20">
        <v>1</v>
      </c>
      <c r="D19" s="21" t="s">
        <v>57</v>
      </c>
      <c r="E19" s="20" t="s">
        <v>54</v>
      </c>
      <c r="F19" s="21">
        <v>82</v>
      </c>
      <c r="G19" s="21">
        <v>-0.1</v>
      </c>
      <c r="H19" s="21">
        <v>-0.13</v>
      </c>
      <c r="I19" s="20">
        <f>SUM(F19+G19)</f>
        <v>81.9</v>
      </c>
      <c r="J19" s="20">
        <f>SUM(F19+H19)</f>
        <v>81.87</v>
      </c>
      <c r="K19" s="40"/>
      <c r="L19" s="20">
        <f>IF(K19&gt;=(J19-M19),(IF(K19&lt;=(I19+M19),C19,0)),0)</f>
        <v>0</v>
      </c>
      <c r="M19" s="41"/>
    </row>
    <row r="20" spans="2:13">
      <c r="B20" s="19">
        <v>13</v>
      </c>
      <c r="C20" s="20">
        <v>1</v>
      </c>
      <c r="D20" s="21" t="s">
        <v>70</v>
      </c>
      <c r="E20" s="20" t="s">
        <v>54</v>
      </c>
      <c r="F20" s="21">
        <v>88</v>
      </c>
      <c r="G20" s="21">
        <v>0.03</v>
      </c>
      <c r="H20" s="21">
        <v>0</v>
      </c>
      <c r="I20" s="20">
        <f>SUM(F20+G20)</f>
        <v>88.03</v>
      </c>
      <c r="J20" s="20">
        <f>SUM(F20+H20)</f>
        <v>88</v>
      </c>
      <c r="K20" s="40"/>
      <c r="L20" s="20">
        <f>IF(K20&gt;=(J20-M20),(IF(K20&lt;=(I20+M20),C20,0)),0)</f>
        <v>0</v>
      </c>
      <c r="M20" s="41"/>
    </row>
    <row r="21" spans="2:13">
      <c r="B21" s="19">
        <v>14</v>
      </c>
      <c r="C21" s="20">
        <v>2</v>
      </c>
      <c r="D21" s="21" t="s">
        <v>115</v>
      </c>
      <c r="E21" s="20" t="s">
        <v>60</v>
      </c>
      <c r="F21" s="21">
        <v>34</v>
      </c>
      <c r="G21" s="21">
        <v>0.05</v>
      </c>
      <c r="H21" s="21">
        <v>0.03</v>
      </c>
      <c r="I21" s="20">
        <f>SUM(F21+G21)</f>
        <v>34.05</v>
      </c>
      <c r="J21" s="20">
        <f>SUM(F21+H21)</f>
        <v>34.03</v>
      </c>
      <c r="K21" s="40"/>
      <c r="L21" s="20">
        <f>IF(K21&gt;=(J21-M21),(IF(K21&lt;=(I21+M21),C21,0)),0)</f>
        <v>0</v>
      </c>
      <c r="M21" s="41"/>
    </row>
    <row r="22" spans="2:13">
      <c r="B22" s="19">
        <v>15</v>
      </c>
      <c r="C22" s="20">
        <v>1</v>
      </c>
      <c r="D22" s="21" t="s">
        <v>87</v>
      </c>
      <c r="E22" s="20" t="s">
        <v>54</v>
      </c>
      <c r="F22" s="21">
        <v>9</v>
      </c>
      <c r="G22" s="21">
        <v>-0.05</v>
      </c>
      <c r="H22" s="21">
        <v>-0.08</v>
      </c>
      <c r="I22" s="20">
        <f>SUM(F22+G22)</f>
        <v>8.95</v>
      </c>
      <c r="J22" s="20">
        <f>SUM(F22+H22)</f>
        <v>8.92</v>
      </c>
      <c r="K22" s="40"/>
      <c r="L22" s="20">
        <f>IF(K22&gt;=(J22-M22),(IF(K22&lt;=(I22+M22),C22,0)),0)</f>
        <v>0</v>
      </c>
      <c r="M22" s="41"/>
    </row>
    <row r="23" spans="2:13">
      <c r="B23" s="19">
        <v>16</v>
      </c>
      <c r="C23" s="20">
        <v>1</v>
      </c>
      <c r="D23" s="21" t="s">
        <v>68</v>
      </c>
      <c r="E23" s="20" t="s">
        <v>54</v>
      </c>
      <c r="F23" s="21">
        <v>8</v>
      </c>
      <c r="G23" s="21">
        <v>0.03</v>
      </c>
      <c r="H23" s="21">
        <v>0</v>
      </c>
      <c r="I23" s="20">
        <f>SUM(F23+G23)</f>
        <v>8.03</v>
      </c>
      <c r="J23" s="20">
        <f>SUM(F23+H23)</f>
        <v>8</v>
      </c>
      <c r="K23" s="40"/>
      <c r="L23" s="20">
        <f>IF(K23&gt;=(J23-M23),(IF(K23&lt;=(I23+M23),C23,0)),0)</f>
        <v>0</v>
      </c>
      <c r="M23" s="41"/>
    </row>
    <row r="24" spans="2:13">
      <c r="B24" s="19">
        <v>17</v>
      </c>
      <c r="C24" s="20">
        <v>1</v>
      </c>
      <c r="D24" s="21" t="s">
        <v>90</v>
      </c>
      <c r="E24" s="20" t="s">
        <v>54</v>
      </c>
      <c r="F24" s="21">
        <v>15</v>
      </c>
      <c r="G24" s="21">
        <v>-0.07</v>
      </c>
      <c r="H24" s="21">
        <v>-0.1</v>
      </c>
      <c r="I24" s="20">
        <f>SUM(F24+G24)</f>
        <v>14.93</v>
      </c>
      <c r="J24" s="20">
        <f>SUM(F24+H24)</f>
        <v>14.9</v>
      </c>
      <c r="K24" s="40"/>
      <c r="L24" s="20">
        <f>IF(K24&gt;=(J24-M24),(IF(K24&lt;=(I24+M24),C24,0)),0)</f>
        <v>0</v>
      </c>
      <c r="M24" s="41"/>
    </row>
    <row r="25" spans="2:13">
      <c r="B25" s="19">
        <v>18</v>
      </c>
      <c r="C25" s="20">
        <v>1</v>
      </c>
      <c r="D25" s="21" t="s">
        <v>73</v>
      </c>
      <c r="E25" s="20" t="s">
        <v>54</v>
      </c>
      <c r="F25" s="21">
        <v>32</v>
      </c>
      <c r="G25" s="21">
        <v>-0.02</v>
      </c>
      <c r="H25" s="21">
        <v>-0.05</v>
      </c>
      <c r="I25" s="20">
        <f>SUM(F25+G25)</f>
        <v>31.98</v>
      </c>
      <c r="J25" s="20">
        <f>SUM(F25+H25)</f>
        <v>31.95</v>
      </c>
      <c r="K25" s="40"/>
      <c r="L25" s="20">
        <f>IF(K25&gt;=(J25-M25),(IF(K25&lt;=(I25+M25),C25,0)),0)</f>
        <v>0</v>
      </c>
      <c r="M25" s="41"/>
    </row>
    <row r="26" spans="2:13">
      <c r="B26" s="19">
        <v>19</v>
      </c>
      <c r="C26" s="20">
        <v>2.5</v>
      </c>
      <c r="D26" s="21" t="s">
        <v>115</v>
      </c>
      <c r="E26" s="20" t="s">
        <v>60</v>
      </c>
      <c r="F26" s="21">
        <v>24</v>
      </c>
      <c r="G26" s="21">
        <v>0.02</v>
      </c>
      <c r="H26" s="21">
        <v>0</v>
      </c>
      <c r="I26" s="20">
        <f>SUM(F26+G26)</f>
        <v>24.02</v>
      </c>
      <c r="J26" s="20">
        <f>SUM(F26+H26)</f>
        <v>24</v>
      </c>
      <c r="K26" s="40"/>
      <c r="L26" s="20">
        <f>IF(K26&gt;=(J26-M26),(IF(K26&lt;=(I26+M26),C26,0)),0)</f>
        <v>0</v>
      </c>
      <c r="M26" s="41"/>
    </row>
    <row r="27" spans="2:13">
      <c r="B27" s="19">
        <v>20</v>
      </c>
      <c r="C27" s="20">
        <v>1</v>
      </c>
      <c r="D27" s="21" t="s">
        <v>74</v>
      </c>
      <c r="E27" s="20" t="s">
        <v>54</v>
      </c>
      <c r="F27" s="21">
        <v>10</v>
      </c>
      <c r="G27" s="21">
        <v>0.05</v>
      </c>
      <c r="H27" s="21">
        <v>0.02</v>
      </c>
      <c r="I27" s="20">
        <f>SUM(F27+G27)</f>
        <v>10.05</v>
      </c>
      <c r="J27" s="20">
        <f>SUM(F27+H27)</f>
        <v>10.02</v>
      </c>
      <c r="K27" s="40"/>
      <c r="L27" s="20">
        <f>IF(K27&gt;=(J27-M27),(IF(K27&lt;=(I27+M27),C27,0)),0)</f>
        <v>0</v>
      </c>
      <c r="M27" s="41"/>
    </row>
    <row r="28" spans="2:13">
      <c r="B28" s="19">
        <v>21</v>
      </c>
      <c r="C28" s="20">
        <v>1</v>
      </c>
      <c r="D28" s="21" t="s">
        <v>70</v>
      </c>
      <c r="E28" s="20" t="s">
        <v>54</v>
      </c>
      <c r="F28" s="21">
        <v>8</v>
      </c>
      <c r="G28" s="21">
        <v>-0.04</v>
      </c>
      <c r="H28" s="21">
        <v>-0.07</v>
      </c>
      <c r="I28" s="20">
        <f>SUM(F28+G28)</f>
        <v>7.96</v>
      </c>
      <c r="J28" s="20">
        <f>SUM(F28+H28)</f>
        <v>7.93</v>
      </c>
      <c r="K28" s="40"/>
      <c r="L28" s="20">
        <f>IF(K28&gt;=(J28-M28),(IF(K28&lt;=(I28+M28),C28,0)),0)</f>
        <v>0</v>
      </c>
      <c r="M28" s="41"/>
    </row>
    <row r="29" spans="2:13">
      <c r="B29" s="19">
        <v>22</v>
      </c>
      <c r="C29" s="20">
        <v>2.5</v>
      </c>
      <c r="D29" s="21" t="s">
        <v>116</v>
      </c>
      <c r="E29" s="22" t="s">
        <v>69</v>
      </c>
      <c r="F29" s="21">
        <v>0.02</v>
      </c>
      <c r="G29" s="21">
        <v>0.02</v>
      </c>
      <c r="H29" s="21">
        <v>1e-7</v>
      </c>
      <c r="I29" s="20">
        <f>SUM(G29)</f>
        <v>0.02</v>
      </c>
      <c r="J29" s="20">
        <f>SUM(H29)</f>
        <v>1e-7</v>
      </c>
      <c r="K29" s="40"/>
      <c r="L29" s="20">
        <f>IF(K29&gt;=(J29-M29),(IF(K29&lt;=(I29+M29),C29,0)),0)</f>
        <v>0</v>
      </c>
      <c r="M29" s="41"/>
    </row>
    <row r="30" spans="2:13">
      <c r="B30" s="19">
        <v>23</v>
      </c>
      <c r="C30" s="20">
        <v>1</v>
      </c>
      <c r="D30" s="21" t="s">
        <v>55</v>
      </c>
      <c r="E30" s="20" t="s">
        <v>54</v>
      </c>
      <c r="F30" s="21">
        <v>98</v>
      </c>
      <c r="G30" s="21">
        <v>0.01</v>
      </c>
      <c r="H30" s="21">
        <v>-0.03</v>
      </c>
      <c r="I30" s="20">
        <f>SUM(F30+G30)</f>
        <v>98.01</v>
      </c>
      <c r="J30" s="20">
        <f>SUM(F30+H30)</f>
        <v>97.97</v>
      </c>
      <c r="K30" s="40"/>
      <c r="L30" s="20">
        <f>IF(K30&gt;=(J30-M30),(IF(K30&lt;=(I30+M30),C30,0)),0)</f>
        <v>0</v>
      </c>
      <c r="M30" s="41"/>
    </row>
    <row r="31" spans="2:13">
      <c r="B31" s="23" t="s">
        <v>75</v>
      </c>
      <c r="C31" s="24">
        <f>SUM(C8:C30)</f>
        <v>27</v>
      </c>
      <c r="D31" s="24"/>
      <c r="E31" s="24"/>
      <c r="F31" s="24"/>
      <c r="G31" s="24"/>
      <c r="H31" s="24"/>
      <c r="I31" s="24"/>
      <c r="J31" s="24"/>
      <c r="K31" s="44"/>
      <c r="L31" s="44">
        <f>SUM(L8:L30)</f>
        <v>0</v>
      </c>
      <c r="M31" s="45"/>
    </row>
    <row r="32" spans="2:13">
      <c r="B32" s="25"/>
      <c r="C32" s="26"/>
      <c r="D32" s="26"/>
      <c r="E32" s="26"/>
      <c r="F32" s="26"/>
      <c r="G32" s="26"/>
      <c r="H32" s="26"/>
      <c r="I32" s="26"/>
      <c r="J32" s="26"/>
      <c r="K32" s="46"/>
      <c r="L32" s="46"/>
      <c r="M32" s="26"/>
    </row>
    <row r="33" spans="2:13">
      <c r="B33" s="17" t="s">
        <v>76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39"/>
    </row>
    <row r="34" spans="2:13">
      <c r="B34" s="19">
        <v>1</v>
      </c>
      <c r="C34" s="20">
        <v>1.2</v>
      </c>
      <c r="D34" s="27" t="s">
        <v>68</v>
      </c>
      <c r="E34" s="20" t="s">
        <v>77</v>
      </c>
      <c r="F34" s="20" t="s">
        <v>117</v>
      </c>
      <c r="G34" s="20"/>
      <c r="H34" s="20"/>
      <c r="I34" s="20" t="s">
        <v>79</v>
      </c>
      <c r="J34" s="20" t="s">
        <v>80</v>
      </c>
      <c r="K34" s="40"/>
      <c r="L34" s="20">
        <f t="shared" ref="L34:L37" si="3">IF(K34=I34,(IF(K34&lt;&gt;J34,C34,0)),0)</f>
        <v>0</v>
      </c>
      <c r="M34" s="41"/>
    </row>
    <row r="35" spans="2:13">
      <c r="B35" s="19">
        <v>2</v>
      </c>
      <c r="C35" s="20">
        <v>1</v>
      </c>
      <c r="D35" s="27" t="s">
        <v>72</v>
      </c>
      <c r="E35" s="20" t="s">
        <v>77</v>
      </c>
      <c r="F35" s="20" t="s">
        <v>118</v>
      </c>
      <c r="G35" s="20"/>
      <c r="H35" s="20"/>
      <c r="I35" s="20" t="s">
        <v>79</v>
      </c>
      <c r="J35" s="20" t="s">
        <v>80</v>
      </c>
      <c r="K35" s="40"/>
      <c r="L35" s="20">
        <f>IF(K35=I35,(IF(K35&lt;&gt;J35,C35,0)),0)</f>
        <v>0</v>
      </c>
      <c r="M35" s="41"/>
    </row>
    <row r="36" spans="2:13">
      <c r="B36" s="19">
        <v>3</v>
      </c>
      <c r="C36" s="20">
        <v>0.4</v>
      </c>
      <c r="D36" s="27" t="s">
        <v>119</v>
      </c>
      <c r="E36" s="22" t="s">
        <v>54</v>
      </c>
      <c r="F36" s="20">
        <v>26</v>
      </c>
      <c r="G36" s="20">
        <v>0.1</v>
      </c>
      <c r="H36" s="20">
        <v>-0.1</v>
      </c>
      <c r="I36" s="20">
        <v>26.1</v>
      </c>
      <c r="J36" s="20">
        <v>25.9</v>
      </c>
      <c r="K36" s="40"/>
      <c r="L36" s="20">
        <f>IF(K36=I36,(IF(K36&lt;&gt;J36,C36,0)),0)</f>
        <v>0</v>
      </c>
      <c r="M36" s="41"/>
    </row>
    <row r="37" spans="2:13">
      <c r="B37" s="19">
        <v>4</v>
      </c>
      <c r="C37" s="20">
        <v>0.5</v>
      </c>
      <c r="D37" s="28" t="s">
        <v>64</v>
      </c>
      <c r="E37" s="22" t="s">
        <v>54</v>
      </c>
      <c r="F37" s="20">
        <v>12</v>
      </c>
      <c r="G37" s="20">
        <v>0.1</v>
      </c>
      <c r="H37" s="20">
        <v>-0.1</v>
      </c>
      <c r="I37" s="20">
        <v>12.1</v>
      </c>
      <c r="J37" s="20">
        <v>11.9</v>
      </c>
      <c r="K37" s="40"/>
      <c r="L37" s="20">
        <f>IF(K37=I37,(IF(K37&lt;&gt;J37,C37,0)),0)</f>
        <v>0</v>
      </c>
      <c r="M37" s="41"/>
    </row>
    <row r="38" spans="2:13">
      <c r="B38" s="19">
        <v>5</v>
      </c>
      <c r="C38" s="20">
        <v>0.4</v>
      </c>
      <c r="D38" s="27" t="s">
        <v>115</v>
      </c>
      <c r="E38" s="20" t="s">
        <v>54</v>
      </c>
      <c r="F38" s="20">
        <v>29</v>
      </c>
      <c r="G38" s="20">
        <v>0.1</v>
      </c>
      <c r="H38" s="20">
        <v>-0.1</v>
      </c>
      <c r="I38" s="20">
        <f t="shared" ref="I38:I56" si="4">SUM(F38+G38)</f>
        <v>29.1</v>
      </c>
      <c r="J38" s="20">
        <f t="shared" ref="J38:J56" si="5">SUM(F38+H38)</f>
        <v>28.9</v>
      </c>
      <c r="K38" s="40"/>
      <c r="L38" s="20">
        <f t="shared" ref="L38:L56" si="6">IF(K38&gt;=(J38-M38),(IF(K38&lt;=(I38+M38),C38,0)),0)</f>
        <v>0</v>
      </c>
      <c r="M38" s="41"/>
    </row>
    <row r="39" spans="2:13">
      <c r="B39" s="19">
        <v>6</v>
      </c>
      <c r="C39" s="20">
        <v>0.4</v>
      </c>
      <c r="D39" s="28" t="s">
        <v>67</v>
      </c>
      <c r="E39" s="20" t="s">
        <v>54</v>
      </c>
      <c r="F39" s="20">
        <v>48</v>
      </c>
      <c r="G39" s="20">
        <v>0.1</v>
      </c>
      <c r="H39" s="20">
        <v>-0.1</v>
      </c>
      <c r="I39" s="20">
        <f>SUM(F39+G39)</f>
        <v>48.1</v>
      </c>
      <c r="J39" s="20">
        <f>SUM(F39+H39)</f>
        <v>47.9</v>
      </c>
      <c r="K39" s="40"/>
      <c r="L39" s="20">
        <f>IF(K39&gt;=(J39-M39),(IF(K39&lt;=(I39+M39),C39,0)),0)</f>
        <v>0</v>
      </c>
      <c r="M39" s="41"/>
    </row>
    <row r="40" spans="2:13">
      <c r="B40" s="19">
        <v>7</v>
      </c>
      <c r="C40" s="20">
        <v>0.4</v>
      </c>
      <c r="D40" s="27" t="s">
        <v>74</v>
      </c>
      <c r="E40" s="20" t="s">
        <v>54</v>
      </c>
      <c r="F40" s="20">
        <v>32</v>
      </c>
      <c r="G40" s="20">
        <v>0.1</v>
      </c>
      <c r="H40" s="20">
        <v>-0.1</v>
      </c>
      <c r="I40" s="20">
        <f>SUM(F40+G40)</f>
        <v>32.1</v>
      </c>
      <c r="J40" s="20">
        <f>SUM(F40+H40)</f>
        <v>31.9</v>
      </c>
      <c r="K40" s="40"/>
      <c r="L40" s="20">
        <f>IF(K40&gt;=(J40-M40),(IF(K40&lt;=(I40+M40),C40,0)),0)</f>
        <v>0</v>
      </c>
      <c r="M40" s="41"/>
    </row>
    <row r="41" spans="2:13">
      <c r="B41" s="19">
        <v>8</v>
      </c>
      <c r="C41" s="20">
        <v>0.4</v>
      </c>
      <c r="D41" s="27" t="s">
        <v>114</v>
      </c>
      <c r="E41" s="20" t="s">
        <v>54</v>
      </c>
      <c r="F41" s="20">
        <v>41</v>
      </c>
      <c r="G41" s="20">
        <v>0.1</v>
      </c>
      <c r="H41" s="20">
        <v>-0.1</v>
      </c>
      <c r="I41" s="20">
        <f>SUM(F41+G41)</f>
        <v>41.1</v>
      </c>
      <c r="J41" s="20">
        <f>SUM(F41+H41)</f>
        <v>40.9</v>
      </c>
      <c r="K41" s="40"/>
      <c r="L41" s="20">
        <f>IF(K41&gt;=(J41-M41),(IF(K41&lt;=(I41+M41),C41,0)),0)</f>
        <v>0</v>
      </c>
      <c r="M41" s="41"/>
    </row>
    <row r="42" spans="2:13">
      <c r="B42" s="19">
        <v>9</v>
      </c>
      <c r="C42" s="20">
        <v>0.5</v>
      </c>
      <c r="D42" s="27" t="s">
        <v>111</v>
      </c>
      <c r="E42" s="20" t="s">
        <v>54</v>
      </c>
      <c r="F42" s="20">
        <v>7</v>
      </c>
      <c r="G42" s="20">
        <v>0.1</v>
      </c>
      <c r="H42" s="20">
        <v>-0.1</v>
      </c>
      <c r="I42" s="20">
        <f>SUM(F42+G42)</f>
        <v>7.1</v>
      </c>
      <c r="J42" s="20">
        <f>SUM(F42+H42)</f>
        <v>6.9</v>
      </c>
      <c r="K42" s="40"/>
      <c r="L42" s="20">
        <f>IF(K42&gt;=(J42-M42),(IF(K42&lt;=(I42+M42),C42,0)),0)</f>
        <v>0</v>
      </c>
      <c r="M42" s="41"/>
    </row>
    <row r="43" spans="2:13">
      <c r="B43" s="19">
        <v>10</v>
      </c>
      <c r="C43" s="20">
        <v>0.4</v>
      </c>
      <c r="D43" s="27" t="s">
        <v>58</v>
      </c>
      <c r="E43" s="20" t="s">
        <v>54</v>
      </c>
      <c r="F43" s="20">
        <v>10</v>
      </c>
      <c r="G43" s="20">
        <v>0.1</v>
      </c>
      <c r="H43" s="20">
        <v>-0.1</v>
      </c>
      <c r="I43" s="20">
        <f>SUM(F43+G43)</f>
        <v>10.1</v>
      </c>
      <c r="J43" s="20">
        <f>SUM(F43+H43)</f>
        <v>9.9</v>
      </c>
      <c r="K43" s="40"/>
      <c r="L43" s="20">
        <f>IF(K43&gt;=(J43-M43),(IF(K43&lt;=(I43+M43),C43,0)),0)</f>
        <v>0</v>
      </c>
      <c r="M43" s="41"/>
    </row>
    <row r="44" spans="2:13">
      <c r="B44" s="19">
        <v>11</v>
      </c>
      <c r="C44" s="20">
        <v>0.5</v>
      </c>
      <c r="D44" s="27" t="s">
        <v>64</v>
      </c>
      <c r="E44" s="20" t="s">
        <v>54</v>
      </c>
      <c r="F44" s="20">
        <v>17</v>
      </c>
      <c r="G44" s="20">
        <v>0.1</v>
      </c>
      <c r="H44" s="20">
        <v>-0.1</v>
      </c>
      <c r="I44" s="20">
        <f>SUM(F44+G44)</f>
        <v>17.1</v>
      </c>
      <c r="J44" s="20">
        <f>SUM(F44+H44)</f>
        <v>16.9</v>
      </c>
      <c r="K44" s="40"/>
      <c r="L44" s="20">
        <f>IF(K44&gt;=(J44-M44),(IF(K44&lt;=(I44+M44),C44,0)),0)</f>
        <v>0</v>
      </c>
      <c r="M44" s="41"/>
    </row>
    <row r="45" spans="2:13">
      <c r="B45" s="19">
        <v>12</v>
      </c>
      <c r="C45" s="20">
        <v>0.4</v>
      </c>
      <c r="D45" s="28" t="s">
        <v>86</v>
      </c>
      <c r="E45" s="22" t="s">
        <v>60</v>
      </c>
      <c r="F45" s="20">
        <v>100</v>
      </c>
      <c r="G45" s="20">
        <v>0.1</v>
      </c>
      <c r="H45" s="20">
        <v>-0.1</v>
      </c>
      <c r="I45" s="20">
        <f>SUM(F45+G45)</f>
        <v>100.1</v>
      </c>
      <c r="J45" s="20">
        <f>SUM(F45+H45)</f>
        <v>99.9</v>
      </c>
      <c r="K45" s="40"/>
      <c r="L45" s="20">
        <f>IF(K45&gt;=(J45-M45),(IF(K45&lt;=(I45+M45),C45,0)),0)</f>
        <v>0</v>
      </c>
      <c r="M45" s="41"/>
    </row>
    <row r="46" spans="2:13">
      <c r="B46" s="19">
        <v>13</v>
      </c>
      <c r="C46" s="20">
        <v>0.5</v>
      </c>
      <c r="D46" s="28" t="s">
        <v>87</v>
      </c>
      <c r="E46" s="20" t="s">
        <v>54</v>
      </c>
      <c r="F46" s="20">
        <v>3</v>
      </c>
      <c r="G46" s="20">
        <v>0.1</v>
      </c>
      <c r="H46" s="20">
        <v>-0.1</v>
      </c>
      <c r="I46" s="20">
        <f>SUM(F46+G46)</f>
        <v>3.1</v>
      </c>
      <c r="J46" s="20">
        <f>SUM(F46+H46)</f>
        <v>2.9</v>
      </c>
      <c r="K46" s="40"/>
      <c r="L46" s="20">
        <f>IF(K46&gt;=(J46-M46),(IF(K46&lt;=(I46+M46),C46,0)),0)</f>
        <v>0</v>
      </c>
      <c r="M46" s="41"/>
    </row>
    <row r="47" spans="2:13">
      <c r="B47" s="19">
        <v>14</v>
      </c>
      <c r="C47" s="20">
        <v>0.5</v>
      </c>
      <c r="D47" s="27" t="s">
        <v>112</v>
      </c>
      <c r="E47" s="20" t="s">
        <v>54</v>
      </c>
      <c r="F47" s="20">
        <v>13</v>
      </c>
      <c r="G47" s="20">
        <v>0.1</v>
      </c>
      <c r="H47" s="20">
        <v>-0.1</v>
      </c>
      <c r="I47" s="20">
        <f>SUM(F47+G47)</f>
        <v>13.1</v>
      </c>
      <c r="J47" s="20">
        <f>SUM(F47+H47)</f>
        <v>12.9</v>
      </c>
      <c r="K47" s="40"/>
      <c r="L47" s="20">
        <f>IF(K47&gt;=(J47-M47),(IF(K47&lt;=(I47+M47),C47,0)),0)</f>
        <v>0</v>
      </c>
      <c r="M47" s="41"/>
    </row>
    <row r="48" spans="2:13">
      <c r="B48" s="19">
        <v>15</v>
      </c>
      <c r="C48" s="20">
        <v>0.5</v>
      </c>
      <c r="D48" s="27" t="s">
        <v>74</v>
      </c>
      <c r="E48" s="20" t="s">
        <v>54</v>
      </c>
      <c r="F48" s="20">
        <v>20</v>
      </c>
      <c r="G48" s="20">
        <v>0.1</v>
      </c>
      <c r="H48" s="20">
        <v>-0.1</v>
      </c>
      <c r="I48" s="20">
        <f>SUM(F48+G48)</f>
        <v>20.1</v>
      </c>
      <c r="J48" s="20">
        <f>SUM(F48+H48)</f>
        <v>19.9</v>
      </c>
      <c r="K48" s="40"/>
      <c r="L48" s="20">
        <f>IF(K48&gt;=(J48-M48),(IF(K48&lt;=(I48+M48),C48,0)),0)</f>
        <v>0</v>
      </c>
      <c r="M48" s="41"/>
    </row>
    <row r="49" spans="2:13">
      <c r="B49" s="19">
        <v>16</v>
      </c>
      <c r="C49" s="20">
        <v>0.5</v>
      </c>
      <c r="D49" s="27" t="s">
        <v>67</v>
      </c>
      <c r="E49" s="20" t="s">
        <v>54</v>
      </c>
      <c r="F49" s="20">
        <v>8</v>
      </c>
      <c r="G49" s="20">
        <v>0.1</v>
      </c>
      <c r="H49" s="20">
        <v>-0.1</v>
      </c>
      <c r="I49" s="20">
        <f>SUM(F49+G49)</f>
        <v>8.1</v>
      </c>
      <c r="J49" s="20">
        <f>SUM(F49+H49)</f>
        <v>7.9</v>
      </c>
      <c r="K49" s="40"/>
      <c r="L49" s="20">
        <f>IF(K49&gt;=(J49-M49),(IF(K49&lt;=(I49+M49),C49,0)),0)</f>
        <v>0</v>
      </c>
      <c r="M49" s="41"/>
    </row>
    <row r="50" spans="2:13">
      <c r="B50" s="19">
        <v>17</v>
      </c>
      <c r="C50" s="20">
        <v>0.5</v>
      </c>
      <c r="D50" s="27" t="s">
        <v>116</v>
      </c>
      <c r="E50" s="20" t="s">
        <v>54</v>
      </c>
      <c r="F50" s="20">
        <v>11</v>
      </c>
      <c r="G50" s="20">
        <v>0.1</v>
      </c>
      <c r="H50" s="20">
        <v>-0.1</v>
      </c>
      <c r="I50" s="20">
        <f>SUM(F50+G50)</f>
        <v>11.1</v>
      </c>
      <c r="J50" s="20">
        <f>SUM(F50+H50)</f>
        <v>10.9</v>
      </c>
      <c r="K50" s="40"/>
      <c r="L50" s="20">
        <f>IF(K50&gt;=(J50-M50),(IF(K50&lt;=(I50+M50),C50,0)),0)</f>
        <v>0</v>
      </c>
      <c r="M50" s="41"/>
    </row>
    <row r="51" spans="2:13">
      <c r="B51" s="19">
        <v>18</v>
      </c>
      <c r="C51" s="20">
        <v>0.5</v>
      </c>
      <c r="D51" s="27" t="s">
        <v>120</v>
      </c>
      <c r="E51" s="20" t="s">
        <v>54</v>
      </c>
      <c r="F51" s="20">
        <v>6.5</v>
      </c>
      <c r="G51" s="20">
        <v>0.1</v>
      </c>
      <c r="H51" s="20">
        <v>-0.1</v>
      </c>
      <c r="I51" s="20">
        <f>SUM(F51+G51)</f>
        <v>6.6</v>
      </c>
      <c r="J51" s="20">
        <f>SUM(F51+H51)</f>
        <v>6.4</v>
      </c>
      <c r="K51" s="40"/>
      <c r="L51" s="20">
        <f>IF(K51&gt;=(J51-M51),(IF(K51&lt;=(I51+M51),C51,0)),0)</f>
        <v>0</v>
      </c>
      <c r="M51" s="41"/>
    </row>
    <row r="52" spans="2:13">
      <c r="B52" s="19">
        <v>19</v>
      </c>
      <c r="C52" s="20">
        <v>0.5</v>
      </c>
      <c r="D52" s="27" t="s">
        <v>74</v>
      </c>
      <c r="E52" s="20" t="s">
        <v>54</v>
      </c>
      <c r="F52" s="20">
        <v>22</v>
      </c>
      <c r="G52" s="20">
        <v>0.1</v>
      </c>
      <c r="H52" s="20">
        <v>-0.1</v>
      </c>
      <c r="I52" s="20">
        <f>SUM(F52+G52)</f>
        <v>22.1</v>
      </c>
      <c r="J52" s="20">
        <f>SUM(F52+H52)</f>
        <v>21.9</v>
      </c>
      <c r="K52" s="40"/>
      <c r="L52" s="20">
        <f>IF(K52&gt;=(J52-M52),(IF(K52&lt;=(I52+M52),C52,0)),0)</f>
        <v>0</v>
      </c>
      <c r="M52" s="41"/>
    </row>
    <row r="53" spans="2:13">
      <c r="B53" s="19">
        <v>20</v>
      </c>
      <c r="C53" s="20">
        <v>0.5</v>
      </c>
      <c r="D53" s="27" t="s">
        <v>115</v>
      </c>
      <c r="E53" s="20" t="s">
        <v>54</v>
      </c>
      <c r="F53" s="20">
        <v>29</v>
      </c>
      <c r="G53" s="20">
        <v>0.1</v>
      </c>
      <c r="H53" s="20">
        <v>-0.1</v>
      </c>
      <c r="I53" s="20">
        <f>SUM(F53+G53)</f>
        <v>29.1</v>
      </c>
      <c r="J53" s="20">
        <f>SUM(F53+H53)</f>
        <v>28.9</v>
      </c>
      <c r="K53" s="40"/>
      <c r="L53" s="20">
        <f>IF(K53&gt;=(J53-M53),(IF(K53&lt;=(I53+M53),C53,0)),0)</f>
        <v>0</v>
      </c>
      <c r="M53" s="41"/>
    </row>
    <row r="54" spans="2:13">
      <c r="B54" s="23" t="s">
        <v>75</v>
      </c>
      <c r="C54" s="24">
        <f>SUM(C34:C53)</f>
        <v>10.5</v>
      </c>
      <c r="D54" s="24"/>
      <c r="E54" s="24"/>
      <c r="F54" s="24"/>
      <c r="G54" s="24"/>
      <c r="H54" s="24"/>
      <c r="I54" s="24"/>
      <c r="J54" s="24"/>
      <c r="K54" s="44"/>
      <c r="L54" s="24">
        <f>SUM(L34:L53)</f>
        <v>0</v>
      </c>
      <c r="M54" s="45"/>
    </row>
    <row r="55" spans="2:13">
      <c r="B55" s="25"/>
      <c r="C55" s="26"/>
      <c r="D55" s="26"/>
      <c r="E55" s="26"/>
      <c r="F55" s="26"/>
      <c r="G55" s="26"/>
      <c r="H55" s="26"/>
      <c r="I55" s="26"/>
      <c r="J55" s="26"/>
      <c r="K55" s="46"/>
      <c r="L55" s="26"/>
      <c r="M55" s="26"/>
    </row>
    <row r="56" spans="2:13">
      <c r="B56" s="17" t="s">
        <v>91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39"/>
    </row>
    <row r="57" spans="2:13">
      <c r="B57" s="19">
        <v>1</v>
      </c>
      <c r="C57" s="20">
        <v>0.7</v>
      </c>
      <c r="D57" s="20" t="s">
        <v>53</v>
      </c>
      <c r="E57" s="20" t="s">
        <v>92</v>
      </c>
      <c r="F57" s="20" t="s">
        <v>93</v>
      </c>
      <c r="G57" s="20">
        <v>0.8</v>
      </c>
      <c r="H57" s="29">
        <v>1e-8</v>
      </c>
      <c r="I57" s="20">
        <f t="shared" ref="I57:I64" si="7">SUM(G57)</f>
        <v>0.8</v>
      </c>
      <c r="J57" s="29">
        <f t="shared" ref="J57:J64" si="8">SUM(H57)</f>
        <v>1e-8</v>
      </c>
      <c r="K57" s="40"/>
      <c r="L57" s="20">
        <f t="shared" ref="L57:L60" si="9">IF(K57&gt;=(J57-M57),(IF(K57&lt;=(I57+M57),C57,0)),0)</f>
        <v>0</v>
      </c>
      <c r="M57" s="41"/>
    </row>
    <row r="58" spans="2:13">
      <c r="B58" s="19">
        <v>2</v>
      </c>
      <c r="C58" s="20">
        <v>0.5</v>
      </c>
      <c r="D58" s="20" t="s">
        <v>58</v>
      </c>
      <c r="E58" s="20" t="s">
        <v>92</v>
      </c>
      <c r="F58" s="20" t="s">
        <v>93</v>
      </c>
      <c r="G58" s="20">
        <v>0.8</v>
      </c>
      <c r="H58" s="29">
        <v>1e-8</v>
      </c>
      <c r="I58" s="20">
        <f>SUM(G58)</f>
        <v>0.8</v>
      </c>
      <c r="J58" s="29">
        <f>SUM(H58)</f>
        <v>1e-8</v>
      </c>
      <c r="K58" s="40"/>
      <c r="L58" s="20">
        <f>IF(K58&gt;=(J58-M58),(IF(K58&lt;=(I58+M58),C58,0)),0)</f>
        <v>0</v>
      </c>
      <c r="M58" s="41"/>
    </row>
    <row r="59" spans="2:13">
      <c r="B59" s="19">
        <v>3</v>
      </c>
      <c r="C59" s="20">
        <v>0.5</v>
      </c>
      <c r="D59" s="20" t="s">
        <v>64</v>
      </c>
      <c r="E59" s="20" t="s">
        <v>92</v>
      </c>
      <c r="F59" s="20" t="s">
        <v>93</v>
      </c>
      <c r="G59" s="20">
        <v>0.8</v>
      </c>
      <c r="H59" s="29">
        <v>1e-8</v>
      </c>
      <c r="I59" s="20">
        <f>SUM(G59)</f>
        <v>0.8</v>
      </c>
      <c r="J59" s="29">
        <f>SUM(H59)</f>
        <v>1e-8</v>
      </c>
      <c r="K59" s="40"/>
      <c r="L59" s="20">
        <f>IF(K59&gt;=(J59-M59),(IF(K59&lt;=(I59+M59),C59,0)),0)</f>
        <v>0</v>
      </c>
      <c r="M59" s="41"/>
    </row>
    <row r="60" spans="2:13">
      <c r="B60" s="19">
        <v>4</v>
      </c>
      <c r="C60" s="20">
        <v>0.5</v>
      </c>
      <c r="D60" s="20" t="s">
        <v>68</v>
      </c>
      <c r="E60" s="20" t="s">
        <v>92</v>
      </c>
      <c r="F60" s="20" t="s">
        <v>93</v>
      </c>
      <c r="G60" s="20">
        <v>0.8</v>
      </c>
      <c r="H60" s="29">
        <v>1e-8</v>
      </c>
      <c r="I60" s="20">
        <f>SUM(G60)</f>
        <v>0.8</v>
      </c>
      <c r="J60" s="29">
        <f>SUM(H60)</f>
        <v>1e-8</v>
      </c>
      <c r="K60" s="40"/>
      <c r="L60" s="20">
        <f>IF(K60&gt;=(J60-M60),(IF(K60&lt;=(I60+M60),C60,0)),0)</f>
        <v>0</v>
      </c>
      <c r="M60" s="41"/>
    </row>
    <row r="61" spans="2:13">
      <c r="B61" s="19">
        <v>5</v>
      </c>
      <c r="C61" s="20">
        <v>0.5</v>
      </c>
      <c r="D61" s="20" t="s">
        <v>67</v>
      </c>
      <c r="E61" s="20" t="s">
        <v>92</v>
      </c>
      <c r="F61" s="20" t="s">
        <v>93</v>
      </c>
      <c r="G61" s="20">
        <v>0.8</v>
      </c>
      <c r="H61" s="29">
        <v>1e-8</v>
      </c>
      <c r="I61" s="20">
        <f>SUM(G61)</f>
        <v>0.8</v>
      </c>
      <c r="J61" s="29">
        <f>SUM(H61)</f>
        <v>1e-8</v>
      </c>
      <c r="K61" s="40"/>
      <c r="L61" s="20">
        <v>0</v>
      </c>
      <c r="M61" s="41"/>
    </row>
    <row r="62" spans="2:13">
      <c r="B62" s="19">
        <v>6</v>
      </c>
      <c r="C62" s="20">
        <v>0.6</v>
      </c>
      <c r="D62" s="20" t="s">
        <v>90</v>
      </c>
      <c r="E62" s="20" t="s">
        <v>92</v>
      </c>
      <c r="F62" s="20" t="s">
        <v>93</v>
      </c>
      <c r="G62" s="20">
        <v>0.8</v>
      </c>
      <c r="H62" s="29">
        <v>1e-8</v>
      </c>
      <c r="I62" s="20">
        <f>SUM(G62)</f>
        <v>0.8</v>
      </c>
      <c r="J62" s="29">
        <f>SUM(H62)</f>
        <v>1e-8</v>
      </c>
      <c r="K62" s="40"/>
      <c r="L62" s="20">
        <v>0</v>
      </c>
      <c r="M62" s="41"/>
    </row>
    <row r="63" spans="2:13">
      <c r="B63" s="19">
        <v>7</v>
      </c>
      <c r="C63" s="20">
        <v>0.6</v>
      </c>
      <c r="D63" s="20" t="s">
        <v>121</v>
      </c>
      <c r="E63" s="20" t="s">
        <v>92</v>
      </c>
      <c r="F63" s="20" t="s">
        <v>93</v>
      </c>
      <c r="G63" s="20">
        <v>0.8</v>
      </c>
      <c r="H63" s="29">
        <v>1e-8</v>
      </c>
      <c r="I63" s="20">
        <f>SUM(G63)</f>
        <v>0.8</v>
      </c>
      <c r="J63" s="29">
        <f>SUM(H63)</f>
        <v>1e-8</v>
      </c>
      <c r="K63" s="40"/>
      <c r="L63" s="20">
        <v>0</v>
      </c>
      <c r="M63" s="41"/>
    </row>
    <row r="64" spans="2:13">
      <c r="B64" s="19">
        <v>8</v>
      </c>
      <c r="C64" s="20">
        <v>0.6</v>
      </c>
      <c r="D64" s="20" t="s">
        <v>112</v>
      </c>
      <c r="E64" s="20" t="s">
        <v>92</v>
      </c>
      <c r="F64" s="20" t="s">
        <v>93</v>
      </c>
      <c r="G64" s="20">
        <v>0.8</v>
      </c>
      <c r="H64" s="29">
        <v>1e-8</v>
      </c>
      <c r="I64" s="20">
        <f>SUM(G64)</f>
        <v>0.8</v>
      </c>
      <c r="J64" s="29">
        <f>SUM(H64)</f>
        <v>1e-8</v>
      </c>
      <c r="K64" s="40"/>
      <c r="L64" s="20">
        <f>IF(K64&gt;=(J64-M64),(IF(K64&lt;=(I64+M64),C64,0)),0)</f>
        <v>0</v>
      </c>
      <c r="M64" s="41"/>
    </row>
    <row r="65" spans="2:13">
      <c r="B65" s="23" t="s">
        <v>75</v>
      </c>
      <c r="C65" s="24">
        <f>SUM(C57:C64)</f>
        <v>4.5</v>
      </c>
      <c r="D65" s="24"/>
      <c r="E65" s="24"/>
      <c r="F65" s="24"/>
      <c r="G65" s="24"/>
      <c r="H65" s="24"/>
      <c r="I65" s="24"/>
      <c r="J65" s="24"/>
      <c r="K65" s="44"/>
      <c r="L65" s="24">
        <f>SUM(L57:L64)</f>
        <v>0</v>
      </c>
      <c r="M65" s="45"/>
    </row>
    <row r="66" spans="2:13">
      <c r="B66" s="25"/>
      <c r="C66" s="26"/>
      <c r="D66" s="26"/>
      <c r="E66" s="26"/>
      <c r="F66" s="26"/>
      <c r="G66" s="26"/>
      <c r="H66" s="26"/>
      <c r="I66" s="26"/>
      <c r="J66" s="26"/>
      <c r="K66" s="46"/>
      <c r="L66" s="26"/>
      <c r="M66" s="26"/>
    </row>
    <row r="67" spans="2:13">
      <c r="B67" s="17" t="s">
        <v>94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39"/>
    </row>
    <row r="68" spans="2:13">
      <c r="B68" s="19"/>
      <c r="C68" s="20"/>
      <c r="D68" s="20"/>
      <c r="E68" s="20"/>
      <c r="F68" s="20"/>
      <c r="G68" s="20">
        <v>1</v>
      </c>
      <c r="H68" s="20">
        <v>2</v>
      </c>
      <c r="I68" s="20">
        <v>3</v>
      </c>
      <c r="J68" s="20">
        <v>4</v>
      </c>
      <c r="K68" s="20">
        <v>5</v>
      </c>
      <c r="L68" s="20"/>
      <c r="M68" s="41"/>
    </row>
    <row r="69" spans="2:23">
      <c r="B69" s="19">
        <v>1</v>
      </c>
      <c r="C69" s="20">
        <v>1.2</v>
      </c>
      <c r="D69" s="47" t="s">
        <v>95</v>
      </c>
      <c r="E69" s="48"/>
      <c r="F69" s="49"/>
      <c r="G69" s="40"/>
      <c r="H69" s="40"/>
      <c r="I69" s="40"/>
      <c r="J69" s="40"/>
      <c r="K69" s="40"/>
      <c r="L69" s="20">
        <f t="shared" ref="L69:L74" si="10">SUM(C69*(W69-V69-U69)/30)</f>
        <v>0</v>
      </c>
      <c r="M69" s="41"/>
      <c r="O69">
        <f t="shared" ref="O69:S69" si="11">SUM(10-G69)</f>
        <v>10</v>
      </c>
      <c r="P69">
        <f>SUM(10-H69)</f>
        <v>10</v>
      </c>
      <c r="Q69">
        <f t="shared" ref="Q69:S74" si="12">SUM(10-I69)</f>
        <v>10</v>
      </c>
      <c r="R69">
        <f>SUM(10-J69)</f>
        <v>10</v>
      </c>
      <c r="S69">
        <f>SUM(10-K69)</f>
        <v>10</v>
      </c>
      <c r="T69">
        <f t="shared" ref="T69:T74" si="13">MAX(O69:S69)</f>
        <v>10</v>
      </c>
      <c r="U69">
        <f t="shared" ref="U69:U74" si="14">SUM(10-T69)</f>
        <v>0</v>
      </c>
      <c r="V69">
        <f t="shared" ref="V69:V74" si="15">MAX(G69:K69)</f>
        <v>0</v>
      </c>
      <c r="W69">
        <f t="shared" ref="W69:W74" si="16">SUM(G69:K69)</f>
        <v>0</v>
      </c>
    </row>
    <row r="70" spans="2:23">
      <c r="B70" s="19">
        <v>2</v>
      </c>
      <c r="C70" s="20">
        <v>0.76</v>
      </c>
      <c r="D70" s="47" t="s">
        <v>96</v>
      </c>
      <c r="E70" s="48"/>
      <c r="F70" s="49"/>
      <c r="G70" s="40"/>
      <c r="H70" s="40"/>
      <c r="I70" s="40"/>
      <c r="J70" s="40"/>
      <c r="K70" s="40"/>
      <c r="L70" s="20">
        <f>SUM(C70*(W70-V70-U70)/30)</f>
        <v>0</v>
      </c>
      <c r="M70" s="41"/>
      <c r="O70">
        <f t="shared" ref="O70:P74" si="17">SUM(10-G70)</f>
        <v>10</v>
      </c>
      <c r="P70">
        <f t="shared" ref="P70:S70" si="18">SUM(10-H70)</f>
        <v>10</v>
      </c>
      <c r="Q70">
        <f>SUM(10-I70)</f>
        <v>10</v>
      </c>
      <c r="R70">
        <f>SUM(10-J70)</f>
        <v>10</v>
      </c>
      <c r="S70">
        <f>SUM(10-K70)</f>
        <v>10</v>
      </c>
      <c r="T70">
        <f>MAX(O70:S70)</f>
        <v>10</v>
      </c>
      <c r="U70">
        <f>SUM(10-T70)</f>
        <v>0</v>
      </c>
      <c r="V70">
        <f>MAX(G70:K70)</f>
        <v>0</v>
      </c>
      <c r="W70">
        <f>SUM(G70:K70)</f>
        <v>0</v>
      </c>
    </row>
    <row r="71" spans="2:23">
      <c r="B71" s="19">
        <v>3</v>
      </c>
      <c r="C71" s="20">
        <v>0.9</v>
      </c>
      <c r="D71" s="47" t="s">
        <v>97</v>
      </c>
      <c r="E71" s="48"/>
      <c r="F71" s="49"/>
      <c r="G71" s="40"/>
      <c r="H71" s="40"/>
      <c r="I71" s="40"/>
      <c r="J71" s="40"/>
      <c r="K71" s="40"/>
      <c r="L71" s="20">
        <f>SUM(C71*(W71-V71-U71)/30)</f>
        <v>0</v>
      </c>
      <c r="M71" s="41"/>
      <c r="O71">
        <f t="shared" ref="O71:S71" si="19">SUM(10-G71)</f>
        <v>10</v>
      </c>
      <c r="P71">
        <f>SUM(10-H71)</f>
        <v>10</v>
      </c>
      <c r="Q71">
        <f>SUM(10-I71)</f>
        <v>10</v>
      </c>
      <c r="R71">
        <f>SUM(10-J71)</f>
        <v>10</v>
      </c>
      <c r="S71">
        <f>SUM(10-K71)</f>
        <v>10</v>
      </c>
      <c r="T71">
        <f>MAX(O71:S71)</f>
        <v>10</v>
      </c>
      <c r="U71">
        <f>SUM(10-T71)</f>
        <v>0</v>
      </c>
      <c r="V71">
        <f>MAX(G71:K71)</f>
        <v>0</v>
      </c>
      <c r="W71">
        <f>SUM(G71:K71)</f>
        <v>0</v>
      </c>
    </row>
    <row r="72" spans="2:23">
      <c r="B72" s="19">
        <v>4</v>
      </c>
      <c r="C72" s="20">
        <v>1.07</v>
      </c>
      <c r="D72" s="47" t="s">
        <v>98</v>
      </c>
      <c r="E72" s="48"/>
      <c r="F72" s="49"/>
      <c r="G72" s="40"/>
      <c r="H72" s="40"/>
      <c r="I72" s="40"/>
      <c r="J72" s="40"/>
      <c r="K72" s="40"/>
      <c r="L72" s="20">
        <f>SUM(C72*(W72-V72-U72)/30)</f>
        <v>0</v>
      </c>
      <c r="M72" s="41"/>
      <c r="O72">
        <f t="shared" ref="O72:S72" si="20">SUM(10-G72)</f>
        <v>10</v>
      </c>
      <c r="P72">
        <f>SUM(10-H72)</f>
        <v>10</v>
      </c>
      <c r="Q72">
        <f>SUM(10-I72)</f>
        <v>10</v>
      </c>
      <c r="R72">
        <f>SUM(10-J72)</f>
        <v>10</v>
      </c>
      <c r="S72">
        <f>SUM(10-K72)</f>
        <v>10</v>
      </c>
      <c r="T72">
        <f>MAX(O72:S72)</f>
        <v>10</v>
      </c>
      <c r="U72">
        <f>SUM(10-T72)</f>
        <v>0</v>
      </c>
      <c r="V72">
        <f>MAX(G72:K72)</f>
        <v>0</v>
      </c>
      <c r="W72">
        <f>SUM(G72:K72)</f>
        <v>0</v>
      </c>
    </row>
    <row r="73" spans="2:23">
      <c r="B73" s="50">
        <v>5</v>
      </c>
      <c r="C73" s="20">
        <v>1.07</v>
      </c>
      <c r="D73" s="47" t="s">
        <v>99</v>
      </c>
      <c r="E73" s="51"/>
      <c r="F73" s="52"/>
      <c r="G73" s="40"/>
      <c r="H73" s="40"/>
      <c r="I73" s="40"/>
      <c r="J73" s="40"/>
      <c r="K73" s="40"/>
      <c r="L73" s="20">
        <f>SUM(C73*(W73-V73-U73)/30)</f>
        <v>0</v>
      </c>
      <c r="M73" s="41"/>
      <c r="O73">
        <f t="shared" ref="O73:S73" si="21">SUM(10-G73)</f>
        <v>10</v>
      </c>
      <c r="P73">
        <f>SUM(10-H73)</f>
        <v>10</v>
      </c>
      <c r="Q73">
        <f>SUM(10-I73)</f>
        <v>10</v>
      </c>
      <c r="R73">
        <f>SUM(10-J73)</f>
        <v>10</v>
      </c>
      <c r="S73">
        <f>SUM(10-K73)</f>
        <v>10</v>
      </c>
      <c r="T73">
        <f>MAX(O73:S73)</f>
        <v>10</v>
      </c>
      <c r="U73">
        <f>SUM(10-T73)</f>
        <v>0</v>
      </c>
      <c r="V73">
        <f>MAX(G73:K73)</f>
        <v>0</v>
      </c>
      <c r="W73">
        <f>SUM(G73:K73)</f>
        <v>0</v>
      </c>
    </row>
    <row r="74" spans="2:23">
      <c r="B74" s="50">
        <v>6</v>
      </c>
      <c r="C74" s="20"/>
      <c r="D74" s="21"/>
      <c r="E74" s="48"/>
      <c r="F74" s="49"/>
      <c r="G74" s="53"/>
      <c r="H74" s="53"/>
      <c r="I74" s="53"/>
      <c r="J74" s="53"/>
      <c r="K74" s="53"/>
      <c r="L74" s="20">
        <f>SUM(C74*(W74-V74-U74)/30)</f>
        <v>0</v>
      </c>
      <c r="M74" s="41"/>
      <c r="O74">
        <f t="shared" ref="O74:S74" si="22">SUM(10-G74)</f>
        <v>10</v>
      </c>
      <c r="P74">
        <f>SUM(10-H74)</f>
        <v>10</v>
      </c>
      <c r="Q74">
        <f>SUM(10-I74)</f>
        <v>10</v>
      </c>
      <c r="R74">
        <f>SUM(10-J74)</f>
        <v>10</v>
      </c>
      <c r="S74">
        <f>SUM(10-K74)</f>
        <v>10</v>
      </c>
      <c r="T74">
        <f>MAX(O74:S74)</f>
        <v>10</v>
      </c>
      <c r="U74">
        <f>SUM(10-T74)</f>
        <v>0</v>
      </c>
      <c r="V74">
        <f>MAX(G74:K74)</f>
        <v>0</v>
      </c>
      <c r="W74">
        <f>SUM(G74:K74)</f>
        <v>0</v>
      </c>
    </row>
    <row r="75" spans="2:13">
      <c r="B75" s="50"/>
      <c r="C75" s="20"/>
      <c r="D75" s="54"/>
      <c r="E75" s="20"/>
      <c r="F75" s="20"/>
      <c r="G75" s="55" t="s">
        <v>100</v>
      </c>
      <c r="H75" s="55" t="s">
        <v>100</v>
      </c>
      <c r="I75" s="55" t="s">
        <v>100</v>
      </c>
      <c r="J75" s="55" t="s">
        <v>100</v>
      </c>
      <c r="K75" s="55" t="s">
        <v>100</v>
      </c>
      <c r="L75" s="20"/>
      <c r="M75" s="41"/>
    </row>
    <row r="76" spans="2:13">
      <c r="B76" s="50"/>
      <c r="C76" s="20"/>
      <c r="D76" s="20"/>
      <c r="E76" s="20"/>
      <c r="F76" s="20"/>
      <c r="G76" s="56"/>
      <c r="H76" s="56"/>
      <c r="I76" s="56"/>
      <c r="J76" s="56"/>
      <c r="K76" s="56"/>
      <c r="L76" s="20"/>
      <c r="M76" s="81"/>
    </row>
    <row r="77" spans="2:13">
      <c r="B77" s="50"/>
      <c r="C77" s="20"/>
      <c r="D77" s="20"/>
      <c r="E77" s="20"/>
      <c r="F77" s="20"/>
      <c r="G77" s="56"/>
      <c r="H77" s="56"/>
      <c r="I77" s="56"/>
      <c r="J77" s="56"/>
      <c r="K77" s="56"/>
      <c r="L77" s="20"/>
      <c r="M77" s="81"/>
    </row>
    <row r="78" spans="2:13">
      <c r="B78" s="50"/>
      <c r="C78" s="20"/>
      <c r="D78" s="20"/>
      <c r="E78" s="20"/>
      <c r="F78" s="20"/>
      <c r="G78" s="56"/>
      <c r="H78" s="56"/>
      <c r="I78" s="56"/>
      <c r="J78" s="56"/>
      <c r="K78" s="56"/>
      <c r="L78" s="20"/>
      <c r="M78" s="81"/>
    </row>
    <row r="79" spans="2:13">
      <c r="B79" s="50"/>
      <c r="C79" s="20"/>
      <c r="D79" s="20"/>
      <c r="E79" s="20"/>
      <c r="F79" s="20"/>
      <c r="G79" s="56"/>
      <c r="H79" s="56"/>
      <c r="I79" s="56"/>
      <c r="J79" s="56"/>
      <c r="K79" s="56"/>
      <c r="L79" s="20"/>
      <c r="M79" s="81"/>
    </row>
    <row r="80" spans="2:13">
      <c r="B80" s="57"/>
      <c r="C80" s="58"/>
      <c r="D80" s="58"/>
      <c r="E80" s="58"/>
      <c r="F80" s="58"/>
      <c r="G80" s="59"/>
      <c r="H80" s="59"/>
      <c r="I80" s="59"/>
      <c r="J80" s="59"/>
      <c r="K80" s="59"/>
      <c r="L80" s="58"/>
      <c r="M80" s="82"/>
    </row>
    <row r="81" spans="2:13">
      <c r="B81" s="60" t="s">
        <v>75</v>
      </c>
      <c r="C81" s="61">
        <f>SUM(C69:C80)</f>
        <v>5</v>
      </c>
      <c r="D81" s="24"/>
      <c r="E81" s="24"/>
      <c r="F81" s="24"/>
      <c r="G81" s="24"/>
      <c r="H81" s="24"/>
      <c r="I81" s="24"/>
      <c r="J81" s="24"/>
      <c r="K81" s="24"/>
      <c r="L81" s="61">
        <f>SUM(L69:L80)</f>
        <v>0</v>
      </c>
      <c r="M81" s="83"/>
    </row>
    <row r="82" spans="2:13"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1"/>
    </row>
    <row r="83" spans="2:13">
      <c r="B83" s="17" t="s">
        <v>101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39"/>
    </row>
    <row r="84" spans="2:13">
      <c r="B84" s="62">
        <v>1</v>
      </c>
      <c r="C84" s="58">
        <v>3</v>
      </c>
      <c r="D84" s="63" t="s">
        <v>102</v>
      </c>
      <c r="E84" s="64"/>
      <c r="F84" s="65"/>
      <c r="G84" s="58"/>
      <c r="H84" s="58"/>
      <c r="I84" s="58"/>
      <c r="J84" s="58"/>
      <c r="K84" s="53"/>
      <c r="L84" s="58">
        <f>IF(K84=0,C84,(K84-1)*(-C84))</f>
        <v>3</v>
      </c>
      <c r="M84" s="42"/>
    </row>
    <row r="85" s="1" customFormat="1" spans="2:13">
      <c r="B85" s="66" t="s">
        <v>75</v>
      </c>
      <c r="C85" s="61">
        <f>SUM(C84)</f>
        <v>3</v>
      </c>
      <c r="D85" s="67"/>
      <c r="E85" s="67"/>
      <c r="F85" s="67"/>
      <c r="G85" s="68"/>
      <c r="H85" s="68"/>
      <c r="I85" s="68"/>
      <c r="J85" s="68"/>
      <c r="K85" s="68"/>
      <c r="L85" s="61">
        <f>SUM(L84)</f>
        <v>3</v>
      </c>
      <c r="M85" s="83"/>
    </row>
    <row r="86" s="1" customFormat="1" spans="2:12">
      <c r="B86" s="26"/>
      <c r="C86" s="26"/>
      <c r="G86" s="69"/>
      <c r="H86" s="69"/>
      <c r="I86" s="69"/>
      <c r="J86" s="69"/>
      <c r="K86" s="69"/>
      <c r="L86" s="26"/>
    </row>
    <row r="87" spans="2:13">
      <c r="B87" s="66"/>
      <c r="C87" s="61"/>
      <c r="D87" s="70"/>
      <c r="E87" s="24"/>
      <c r="F87" s="24"/>
      <c r="G87" s="24"/>
      <c r="H87" s="24"/>
      <c r="I87" s="84"/>
      <c r="J87" s="70" t="s">
        <v>103</v>
      </c>
      <c r="K87" s="84"/>
      <c r="L87" s="70" t="s">
        <v>104</v>
      </c>
      <c r="M87" s="45"/>
    </row>
    <row r="88" spans="2:13">
      <c r="B88" s="71"/>
      <c r="C88" s="72"/>
      <c r="D88" s="73" t="s">
        <v>105</v>
      </c>
      <c r="E88" s="74"/>
      <c r="F88" s="74"/>
      <c r="G88" s="74"/>
      <c r="H88" s="74"/>
      <c r="I88" s="85"/>
      <c r="J88" s="86"/>
      <c r="K88" s="87"/>
      <c r="L88" s="86"/>
      <c r="M88" s="88"/>
    </row>
    <row r="89" spans="2:13">
      <c r="B89" s="19"/>
      <c r="C89" s="20"/>
      <c r="D89" s="75" t="s">
        <v>106</v>
      </c>
      <c r="E89" s="76"/>
      <c r="F89" s="76"/>
      <c r="G89" s="76"/>
      <c r="H89" s="76"/>
      <c r="I89" s="89"/>
      <c r="J89" s="90"/>
      <c r="K89" s="91"/>
      <c r="L89" s="90"/>
      <c r="M89" s="92"/>
    </row>
    <row r="90" spans="2:13">
      <c r="B90" s="19"/>
      <c r="C90" s="20"/>
      <c r="D90" s="75" t="s">
        <v>107</v>
      </c>
      <c r="E90" s="76"/>
      <c r="F90" s="76"/>
      <c r="G90" s="76"/>
      <c r="H90" s="76"/>
      <c r="I90" s="89"/>
      <c r="J90" s="90"/>
      <c r="K90" s="91"/>
      <c r="L90" s="90"/>
      <c r="M90" s="92"/>
    </row>
    <row r="91" spans="2:13">
      <c r="B91" s="77"/>
      <c r="C91" s="78"/>
      <c r="D91" s="79" t="s">
        <v>108</v>
      </c>
      <c r="E91" s="80"/>
      <c r="F91" s="80"/>
      <c r="G91" s="80"/>
      <c r="H91" s="80"/>
      <c r="I91" s="93"/>
      <c r="J91" s="94"/>
      <c r="K91" s="95"/>
      <c r="L91" s="94"/>
      <c r="M91" s="96"/>
    </row>
  </sheetData>
  <protectedRanges>
    <protectedRange sqref="K84" name="区域5" securityDescriptor=""/>
    <protectedRange sqref="G69:K80" name="区域4" securityDescriptor=""/>
    <protectedRange sqref="K57:K64" name="区域3" securityDescriptor=""/>
    <protectedRange sqref="K34:K5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69:F69"/>
    <mergeCell ref="D70:F70"/>
    <mergeCell ref="D71:F71"/>
    <mergeCell ref="D72:F72"/>
    <mergeCell ref="D73:F73"/>
    <mergeCell ref="D74:F74"/>
    <mergeCell ref="D84:F84"/>
    <mergeCell ref="D87:I87"/>
    <mergeCell ref="J87:K87"/>
    <mergeCell ref="L87:M87"/>
    <mergeCell ref="D88:I88"/>
    <mergeCell ref="J88:K88"/>
    <mergeCell ref="L88:M88"/>
    <mergeCell ref="D89:I89"/>
    <mergeCell ref="J89:K89"/>
    <mergeCell ref="L89:M89"/>
    <mergeCell ref="D90:I90"/>
    <mergeCell ref="J90:K90"/>
    <mergeCell ref="L90:M90"/>
    <mergeCell ref="D91:I91"/>
    <mergeCell ref="J91:K91"/>
    <mergeCell ref="L91:M91"/>
    <mergeCell ref="G75:G80"/>
    <mergeCell ref="H75:H80"/>
    <mergeCell ref="I75:I80"/>
    <mergeCell ref="J75:J80"/>
    <mergeCell ref="K75:K80"/>
    <mergeCell ref="B1:M2"/>
    <mergeCell ref="D75:F80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成绩单</vt:lpstr>
      <vt:lpstr>MOD1-评分表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2014-05-27T21:36:46Z</dcterms:created>
  <dcterms:modified xsi:type="dcterms:W3CDTF">2014-05-27T21:41:39Z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2052-9.1.0.4555</vt:lpwstr>
  </property>
</Properties>
</file>