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" windowWidth="14892" windowHeight="7932" activeTab="2"/>
  </bookViews>
  <sheets>
    <sheet name="成绩单" sheetId="4" r:id="rId1"/>
    <sheet name="MOD1-评分表" sheetId="1" r:id="rId2"/>
    <sheet name="MOD2-评分表" sheetId="2" r:id="rId3"/>
  </sheets>
  <definedNames>
    <definedName name="_xlnm.Print_Area" localSheetId="1">'MOD1-评分表'!$B$1:$M$104</definedName>
    <definedName name="_xlnm.Print_Area" localSheetId="2">'MOD2-评分表'!$B$1:$M$104</definedName>
    <definedName name="_xlnm.Print_Area" localSheetId="0">成绩单!$A$1:$L$47</definedName>
  </definedNames>
  <calcPr calcId="114210"/>
</workbook>
</file>

<file path=xl/calcChain.xml><?xml version="1.0" encoding="utf-8"?>
<calcChain xmlns="http://schemas.openxmlformats.org/spreadsheetml/2006/main">
  <c r="J77" i="2"/>
  <c r="I77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L45"/>
  <c r="L28" i="1"/>
  <c r="L13"/>
  <c r="L14"/>
  <c r="L15"/>
  <c r="L16"/>
  <c r="L17"/>
  <c r="L18"/>
  <c r="L8"/>
  <c r="L19"/>
  <c r="L20"/>
  <c r="L21"/>
  <c r="L22"/>
  <c r="L23"/>
  <c r="L24"/>
  <c r="L25"/>
  <c r="L26"/>
  <c r="L27"/>
  <c r="L9"/>
  <c r="L10"/>
  <c r="L11"/>
  <c r="L12"/>
  <c r="L29"/>
  <c r="L30"/>
  <c r="L40"/>
  <c r="L41"/>
  <c r="J46"/>
  <c r="I46"/>
  <c r="L46"/>
  <c r="J47"/>
  <c r="I47"/>
  <c r="L47"/>
  <c r="J48"/>
  <c r="I48"/>
  <c r="L48"/>
  <c r="J49"/>
  <c r="I49"/>
  <c r="L49"/>
  <c r="J50"/>
  <c r="I50"/>
  <c r="L50"/>
  <c r="J51"/>
  <c r="I51"/>
  <c r="L51"/>
  <c r="J52"/>
  <c r="I52"/>
  <c r="L52"/>
  <c r="J53"/>
  <c r="I53"/>
  <c r="L53"/>
  <c r="J54"/>
  <c r="I54"/>
  <c r="L54"/>
  <c r="J55"/>
  <c r="I55"/>
  <c r="L55"/>
  <c r="J56"/>
  <c r="I56"/>
  <c r="L56"/>
  <c r="J57"/>
  <c r="I57"/>
  <c r="L57"/>
  <c r="J58"/>
  <c r="I58"/>
  <c r="L58"/>
  <c r="J59"/>
  <c r="I59"/>
  <c r="L59"/>
  <c r="J60"/>
  <c r="I60"/>
  <c r="L60"/>
  <c r="J61"/>
  <c r="I61"/>
  <c r="L61"/>
  <c r="J62"/>
  <c r="I62"/>
  <c r="L62"/>
  <c r="L63"/>
  <c r="L44"/>
  <c r="L45"/>
  <c r="L67"/>
  <c r="L70"/>
  <c r="L71"/>
  <c r="L72"/>
  <c r="L73"/>
  <c r="L74"/>
  <c r="L75"/>
  <c r="L76"/>
  <c r="L78"/>
  <c r="L97"/>
  <c r="L82"/>
  <c r="L84"/>
  <c r="L85"/>
  <c r="L86"/>
  <c r="L94"/>
  <c r="L4"/>
  <c r="I40" i="4"/>
  <c r="E4" i="1"/>
  <c r="E4" i="2"/>
  <c r="I3"/>
  <c r="E3"/>
  <c r="I3" i="1"/>
  <c r="E3"/>
  <c r="H40" i="4"/>
  <c r="G40"/>
  <c r="K38"/>
  <c r="C98" i="2"/>
  <c r="L97"/>
  <c r="L98"/>
  <c r="H36" i="4"/>
  <c r="K36"/>
  <c r="W87" i="2"/>
  <c r="V87"/>
  <c r="S87"/>
  <c r="R87"/>
  <c r="Q87"/>
  <c r="P87"/>
  <c r="O87"/>
  <c r="W86"/>
  <c r="V86"/>
  <c r="S86"/>
  <c r="R86"/>
  <c r="Q86"/>
  <c r="P86"/>
  <c r="O86"/>
  <c r="T86"/>
  <c r="U86"/>
  <c r="L86"/>
  <c r="W85"/>
  <c r="V85"/>
  <c r="S85"/>
  <c r="R85"/>
  <c r="Q85"/>
  <c r="P85"/>
  <c r="O85"/>
  <c r="W84"/>
  <c r="V84"/>
  <c r="S84"/>
  <c r="R84"/>
  <c r="Q84"/>
  <c r="P84"/>
  <c r="O84"/>
  <c r="W83"/>
  <c r="V83"/>
  <c r="S83"/>
  <c r="R83"/>
  <c r="Q83"/>
  <c r="P83"/>
  <c r="O83"/>
  <c r="W82"/>
  <c r="V82"/>
  <c r="S82"/>
  <c r="R82"/>
  <c r="Q82"/>
  <c r="P82"/>
  <c r="O82"/>
  <c r="T82"/>
  <c r="U82"/>
  <c r="L82"/>
  <c r="J76"/>
  <c r="L76"/>
  <c r="I76"/>
  <c r="J75"/>
  <c r="L75"/>
  <c r="I75"/>
  <c r="J74"/>
  <c r="L74"/>
  <c r="I74"/>
  <c r="J73"/>
  <c r="L73"/>
  <c r="I73"/>
  <c r="J72"/>
  <c r="L72"/>
  <c r="I72"/>
  <c r="J71"/>
  <c r="L71"/>
  <c r="I71"/>
  <c r="J70"/>
  <c r="L70"/>
  <c r="I70"/>
  <c r="C67"/>
  <c r="J64"/>
  <c r="I64"/>
  <c r="L66"/>
  <c r="J63"/>
  <c r="I63"/>
  <c r="L64"/>
  <c r="L62"/>
  <c r="L61"/>
  <c r="L60"/>
  <c r="L59"/>
  <c r="L58"/>
  <c r="L57"/>
  <c r="L56"/>
  <c r="L55"/>
  <c r="L54"/>
  <c r="L53"/>
  <c r="L52"/>
  <c r="L51"/>
  <c r="L50"/>
  <c r="L49"/>
  <c r="L48"/>
  <c r="L44"/>
  <c r="C41"/>
  <c r="L39"/>
  <c r="L37"/>
  <c r="L35"/>
  <c r="L33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7" i="1"/>
  <c r="C67"/>
  <c r="C41"/>
  <c r="I64"/>
  <c r="J64"/>
  <c r="I65"/>
  <c r="J65"/>
  <c r="I66"/>
  <c r="J66"/>
  <c r="L38"/>
  <c r="L37"/>
  <c r="L34"/>
  <c r="L33"/>
  <c r="W83"/>
  <c r="W84"/>
  <c r="W85"/>
  <c r="W86"/>
  <c r="W87"/>
  <c r="V83"/>
  <c r="V84"/>
  <c r="V85"/>
  <c r="V86"/>
  <c r="V87"/>
  <c r="W82"/>
  <c r="V82"/>
  <c r="O83"/>
  <c r="P83"/>
  <c r="Q83"/>
  <c r="R83"/>
  <c r="S83"/>
  <c r="O84"/>
  <c r="P84"/>
  <c r="Q84"/>
  <c r="R84"/>
  <c r="S84"/>
  <c r="O85"/>
  <c r="T85"/>
  <c r="U85"/>
  <c r="P85"/>
  <c r="Q85"/>
  <c r="R85"/>
  <c r="S85"/>
  <c r="O86"/>
  <c r="P86"/>
  <c r="Q86"/>
  <c r="R86"/>
  <c r="S86"/>
  <c r="O87"/>
  <c r="P87"/>
  <c r="Q87"/>
  <c r="R87"/>
  <c r="S87"/>
  <c r="Q82"/>
  <c r="R82"/>
  <c r="S82"/>
  <c r="P82"/>
  <c r="O82"/>
  <c r="L98"/>
  <c r="G34" i="4"/>
  <c r="K34"/>
  <c r="J76" i="1"/>
  <c r="I76"/>
  <c r="J75"/>
  <c r="I75"/>
  <c r="J74"/>
  <c r="I74"/>
  <c r="J73"/>
  <c r="I73"/>
  <c r="J72"/>
  <c r="I72"/>
  <c r="J71"/>
  <c r="I71"/>
  <c r="J70"/>
  <c r="I70"/>
  <c r="G22" i="4"/>
  <c r="K22"/>
  <c r="T84" i="2"/>
  <c r="U84"/>
  <c r="L84"/>
  <c r="K32" i="4"/>
  <c r="L32" i="1"/>
  <c r="L36"/>
  <c r="L65"/>
  <c r="L36" i="2"/>
  <c r="L38"/>
  <c r="L40"/>
  <c r="T83"/>
  <c r="U83"/>
  <c r="L83"/>
  <c r="T85"/>
  <c r="U85"/>
  <c r="L85"/>
  <c r="T87"/>
  <c r="U87"/>
  <c r="L87"/>
  <c r="L94"/>
  <c r="H30" i="4"/>
  <c r="K30"/>
  <c r="K40"/>
  <c r="L39" i="1"/>
  <c r="L66"/>
  <c r="L64"/>
  <c r="L31"/>
  <c r="L35"/>
  <c r="G10" i="4"/>
  <c r="K10"/>
  <c r="L63" i="2"/>
  <c r="L65"/>
  <c r="L32"/>
  <c r="L34"/>
  <c r="K26" i="4"/>
  <c r="L78" i="2"/>
  <c r="H24" i="4"/>
  <c r="K24"/>
  <c r="L41" i="2"/>
  <c r="H12" i="4"/>
  <c r="K12"/>
  <c r="G16"/>
  <c r="T87" i="1"/>
  <c r="U87"/>
  <c r="L87"/>
  <c r="T86"/>
  <c r="U86"/>
  <c r="T82"/>
  <c r="U82"/>
  <c r="T84"/>
  <c r="U84"/>
  <c r="T83"/>
  <c r="U83"/>
  <c r="L83"/>
  <c r="K14" i="4"/>
  <c r="G28"/>
  <c r="K28"/>
  <c r="L67" i="2"/>
  <c r="H18" i="4"/>
  <c r="K18"/>
  <c r="K16"/>
  <c r="K20"/>
  <c r="H41"/>
  <c r="G41"/>
  <c r="K41"/>
</calcChain>
</file>

<file path=xl/sharedStrings.xml><?xml version="1.0" encoding="utf-8"?>
<sst xmlns="http://schemas.openxmlformats.org/spreadsheetml/2006/main" count="401" uniqueCount="157">
  <si>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</si>
  <si>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</si>
  <si>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</si>
  <si>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</si>
  <si>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</si>
  <si>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</si>
  <si>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</si>
  <si>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</si>
  <si>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</si>
  <si>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</si>
  <si>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</si>
  <si>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平行度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</si>
  <si>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</si>
  <si>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</si>
  <si>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</si>
  <si>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</si>
  <si>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B4</t>
    <phoneticPr fontId="2" type="noConversion"/>
  </si>
  <si>
    <t>M10/12+2</t>
    <phoneticPr fontId="2" type="noConversion"/>
  </si>
  <si>
    <t>E2</t>
    <phoneticPr fontId="2" type="noConversion"/>
  </si>
  <si>
    <t>A3</t>
    <phoneticPr fontId="2" type="noConversion"/>
  </si>
  <si>
    <t>D6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</si>
  <si>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</si>
  <si>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</si>
  <si>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</si>
  <si>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</si>
  <si>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</si>
  <si>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</si>
  <si>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</si>
  <si>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charset val="134"/>
      </rPr>
      <t>主要尺寸</t>
    </r>
    <phoneticPr fontId="2" type="noConversion"/>
  </si>
  <si>
    <r>
      <t>B-</t>
    </r>
    <r>
      <rPr>
        <sz val="8"/>
        <rFont val="宋体"/>
        <charset val="134"/>
      </rPr>
      <t>次要尺寸</t>
    </r>
    <phoneticPr fontId="2" type="noConversion"/>
  </si>
  <si>
    <r>
      <t>C-</t>
    </r>
    <r>
      <rPr>
        <sz val="8"/>
        <rFont val="宋体"/>
        <charset val="134"/>
      </rPr>
      <t>表面质量</t>
    </r>
    <phoneticPr fontId="2" type="noConversion"/>
  </si>
  <si>
    <r>
      <t>D-</t>
    </r>
    <r>
      <rPr>
        <sz val="8"/>
        <rFont val="宋体"/>
        <charset val="134"/>
      </rPr>
      <t>主观评判</t>
    </r>
    <phoneticPr fontId="2" type="noConversion"/>
  </si>
  <si>
    <r>
      <t>E-</t>
    </r>
    <r>
      <rPr>
        <sz val="8"/>
        <rFont val="宋体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</si>
  <si>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</si>
  <si>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</si>
  <si>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</si>
  <si>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</si>
  <si>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</si>
  <si>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</si>
  <si>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</si>
  <si>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</si>
  <si>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</si>
  <si>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</si>
  <si>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</si>
  <si>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</si>
  <si>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</si>
  <si>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</si>
  <si>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</si>
  <si>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</si>
  <si>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</si>
  <si>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</si>
  <si>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</si>
  <si>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</si>
  <si>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M30X1.5/14+2</t>
    <phoneticPr fontId="4" type="noConversion"/>
  </si>
  <si>
    <t>M6/10+2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</si>
  <si>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</si>
  <si>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</si>
  <si>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</si>
  <si>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</si>
  <si>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</si>
  <si>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</si>
  <si>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</si>
  <si>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</si>
  <si>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</si>
  <si>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</si>
  <si>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</si>
  <si>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</si>
  <si>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  <phoneticPr fontId="2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</si>
  <si>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</si>
  <si>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</si>
  <si>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</si>
  <si>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</si>
  <si>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</si>
  <si>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</si>
  <si>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</si>
  <si>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</si>
  <si>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</si>
  <si>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</si>
  <si>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</si>
  <si>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</si>
  <si>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</si>
  <si>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</si>
  <si>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</si>
  <si>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</si>
  <si>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</si>
  <si>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</si>
  <si>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</si>
  <si>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偏差</t>
    <phoneticPr fontId="2" type="noConversion"/>
  </si>
  <si>
    <t>允差</t>
    <phoneticPr fontId="2" type="noConversion"/>
  </si>
  <si>
    <t>2014年中国技能大赛—第43届世界技能大赛数控铣项目全国选拔赛样题评分汇总表</t>
    <phoneticPr fontId="2" type="noConversion"/>
  </si>
  <si>
    <t>2014年中国技能大赛—第43届世界技能大赛数控铣项目全国选拔赛MOD1样题评分表</t>
    <phoneticPr fontId="2" type="noConversion"/>
  </si>
  <si>
    <t>2014年中国技能大赛—第43届世界技能大赛数控铣项目全国选拔赛MOD2样题评分表</t>
    <phoneticPr fontId="4" type="noConversion"/>
  </si>
  <si>
    <t>A3</t>
    <phoneticPr fontId="2" type="noConversion"/>
  </si>
  <si>
    <t>直径</t>
    <phoneticPr fontId="2" type="noConversion"/>
  </si>
  <si>
    <t>A2</t>
    <phoneticPr fontId="2" type="noConversion"/>
  </si>
  <si>
    <t>B3</t>
    <phoneticPr fontId="2" type="noConversion"/>
  </si>
  <si>
    <t>长度</t>
    <phoneticPr fontId="2" type="noConversion"/>
  </si>
  <si>
    <t>C1</t>
    <phoneticPr fontId="2" type="noConversion"/>
  </si>
  <si>
    <t>C3</t>
    <phoneticPr fontId="2" type="noConversion"/>
  </si>
  <si>
    <t>C2</t>
    <phoneticPr fontId="2" type="noConversion"/>
  </si>
  <si>
    <t>C4</t>
    <phoneticPr fontId="2" type="noConversion"/>
  </si>
  <si>
    <t>D4</t>
    <phoneticPr fontId="2" type="noConversion"/>
  </si>
  <si>
    <t>F3</t>
    <phoneticPr fontId="2" type="noConversion"/>
  </si>
  <si>
    <t>E4</t>
    <phoneticPr fontId="2" type="noConversion"/>
  </si>
  <si>
    <t>C5</t>
    <phoneticPr fontId="2" type="noConversion"/>
  </si>
  <si>
    <t>长度</t>
    <phoneticPr fontId="2" type="noConversion"/>
  </si>
  <si>
    <t>B7</t>
    <phoneticPr fontId="2" type="noConversion"/>
  </si>
  <si>
    <t>平行度</t>
    <phoneticPr fontId="2" type="noConversion"/>
  </si>
  <si>
    <t>C8</t>
    <phoneticPr fontId="2" type="noConversion"/>
  </si>
  <si>
    <t>D8</t>
    <phoneticPr fontId="2" type="noConversion"/>
  </si>
  <si>
    <t>D9</t>
    <phoneticPr fontId="2" type="noConversion"/>
  </si>
  <si>
    <t>M30X1.5/16+2</t>
    <phoneticPr fontId="2" type="noConversion"/>
  </si>
  <si>
    <t>B3</t>
    <phoneticPr fontId="2" type="noConversion"/>
  </si>
  <si>
    <t>D2</t>
    <phoneticPr fontId="2" type="noConversion"/>
  </si>
  <si>
    <t>C3</t>
    <phoneticPr fontId="2" type="noConversion"/>
  </si>
  <si>
    <t>C4</t>
    <phoneticPr fontId="2" type="noConversion"/>
  </si>
  <si>
    <t>D3</t>
    <phoneticPr fontId="2" type="noConversion"/>
  </si>
  <si>
    <t>E3</t>
    <phoneticPr fontId="2" type="noConversion"/>
  </si>
  <si>
    <t>E4</t>
    <phoneticPr fontId="2" type="noConversion"/>
  </si>
  <si>
    <t>C5</t>
    <phoneticPr fontId="2" type="noConversion"/>
  </si>
  <si>
    <t>C6</t>
    <phoneticPr fontId="2" type="noConversion"/>
  </si>
  <si>
    <t>C7</t>
    <phoneticPr fontId="2" type="noConversion"/>
  </si>
  <si>
    <t>D9</t>
    <phoneticPr fontId="2" type="noConversion"/>
  </si>
  <si>
    <t>C10</t>
    <phoneticPr fontId="2" type="noConversion"/>
  </si>
  <si>
    <t>C9</t>
    <phoneticPr fontId="2" type="noConversion"/>
  </si>
  <si>
    <t>A2</t>
    <phoneticPr fontId="2" type="noConversion"/>
  </si>
  <si>
    <t>C1</t>
    <phoneticPr fontId="2" type="noConversion"/>
  </si>
  <si>
    <t>D5</t>
    <phoneticPr fontId="2" type="noConversion"/>
  </si>
  <si>
    <t>B5</t>
    <phoneticPr fontId="4" type="noConversion"/>
  </si>
  <si>
    <t>D6</t>
    <phoneticPr fontId="4" type="noConversion"/>
  </si>
  <si>
    <t>D2</t>
    <phoneticPr fontId="4" type="noConversion"/>
  </si>
  <si>
    <t>E3</t>
    <phoneticPr fontId="4" type="noConversion"/>
  </si>
  <si>
    <t>C3</t>
    <phoneticPr fontId="4" type="noConversion"/>
  </si>
  <si>
    <t>C2</t>
    <phoneticPr fontId="4" type="noConversion"/>
  </si>
  <si>
    <t>C5</t>
    <phoneticPr fontId="4" type="noConversion"/>
  </si>
  <si>
    <t>E5</t>
    <phoneticPr fontId="4" type="noConversion"/>
  </si>
  <si>
    <t>A7</t>
    <phoneticPr fontId="4" type="noConversion"/>
  </si>
  <si>
    <t>B8</t>
    <phoneticPr fontId="4" type="noConversion"/>
  </si>
  <si>
    <t>C8</t>
    <phoneticPr fontId="4" type="noConversion"/>
  </si>
  <si>
    <t>C7</t>
    <phoneticPr fontId="4" type="noConversion"/>
  </si>
  <si>
    <t>D6</t>
    <phoneticPr fontId="4" type="noConversion"/>
  </si>
  <si>
    <t>D7</t>
    <phoneticPr fontId="4" type="noConversion"/>
  </si>
  <si>
    <t>D8</t>
    <phoneticPr fontId="4" type="noConversion"/>
  </si>
  <si>
    <t>E8</t>
    <phoneticPr fontId="4" type="noConversion"/>
  </si>
  <si>
    <t>C9</t>
    <phoneticPr fontId="4" type="noConversion"/>
  </si>
  <si>
    <t>D5</t>
    <phoneticPr fontId="4" type="noConversion"/>
  </si>
  <si>
    <t>C5</t>
    <phoneticPr fontId="4" type="noConversion"/>
  </si>
  <si>
    <t>C6</t>
    <phoneticPr fontId="4" type="noConversion"/>
  </si>
  <si>
    <t>E6</t>
    <phoneticPr fontId="4" type="noConversion"/>
  </si>
  <si>
    <t>B9</t>
    <phoneticPr fontId="4" type="noConversion"/>
  </si>
  <si>
    <t>B9</t>
    <phoneticPr fontId="4" type="noConversion"/>
  </si>
  <si>
    <t>A7</t>
    <phoneticPr fontId="4" type="noConversion"/>
  </si>
  <si>
    <t>D5</t>
    <phoneticPr fontId="4" type="noConversion"/>
  </si>
  <si>
    <t>E4</t>
    <phoneticPr fontId="4" type="noConversion"/>
  </si>
  <si>
    <t>E7</t>
    <phoneticPr fontId="4" type="noConversion"/>
  </si>
  <si>
    <t>B7</t>
    <phoneticPr fontId="4" type="noConversion"/>
  </si>
  <si>
    <t>C8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</si>
</sst>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4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宋体"/>
      <charset val="134"/>
    </font>
    <font>
      <sz val="6"/>
      <name val="宋体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0" borderId="3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right" vertical="center"/>
    </xf>
    <xf numFmtId="0" fontId="1" fillId="0" borderId="4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2" workbookViewId="0">
      <selection activeCell="M5" sqref="M5"/>
    </sheetView>
  </sheetViews>
  <sheetFormatPr defaultRowHeight="14.4"/>
  <cols>
    <col min="1" max="1" width="2.6640625" customWidth="1"/>
    <col min="2" max="2" width="5.88671875" customWidth="1"/>
    <col min="3" max="3" width="5" customWidth="1"/>
    <col min="4" max="4" width="1.109375" customWidth="1"/>
    <col min="5" max="5" width="13" customWidth="1"/>
    <col min="6" max="6" width="10.6640625" customWidth="1"/>
    <col min="12" max="12" width="2.6640625" customWidth="1"/>
  </cols>
  <sheetData>
    <row r="1" spans="1:1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6.5" customHeight="1">
      <c r="A2" s="57"/>
      <c r="B2" s="84" t="s">
        <v>89</v>
      </c>
      <c r="C2" s="85"/>
      <c r="D2" s="85"/>
      <c r="E2" s="85"/>
      <c r="F2" s="85"/>
      <c r="G2" s="85"/>
      <c r="H2" s="85"/>
      <c r="I2" s="85"/>
      <c r="J2" s="85"/>
      <c r="K2" s="85"/>
      <c r="L2" s="19"/>
    </row>
    <row r="3" spans="1:12" ht="16.5" customHeight="1">
      <c r="A3" s="57"/>
      <c r="B3" s="85"/>
      <c r="C3" s="85"/>
      <c r="D3" s="85"/>
      <c r="E3" s="85"/>
      <c r="F3" s="85"/>
      <c r="G3" s="85"/>
      <c r="H3" s="85"/>
      <c r="I3" s="85"/>
      <c r="J3" s="85"/>
      <c r="K3" s="85"/>
      <c r="L3" s="19"/>
    </row>
    <row r="4" spans="1:12" ht="16.5" customHeight="1">
      <c r="A4" s="57"/>
      <c r="B4" s="89" t="s">
        <v>40</v>
      </c>
      <c r="C4" s="90"/>
      <c r="D4" s="91"/>
      <c r="E4" s="92"/>
      <c r="F4" s="93"/>
      <c r="G4" s="94" t="s">
        <v>46</v>
      </c>
      <c r="H4" s="94"/>
      <c r="I4" s="86"/>
      <c r="J4" s="87"/>
      <c r="K4" s="88"/>
      <c r="L4" s="19"/>
    </row>
    <row r="5" spans="1:12" ht="16.5" customHeight="1">
      <c r="A5" s="57"/>
      <c r="B5" s="89" t="s">
        <v>41</v>
      </c>
      <c r="C5" s="90"/>
      <c r="D5" s="91"/>
      <c r="E5" s="92"/>
      <c r="F5" s="93"/>
      <c r="G5" s="94"/>
      <c r="H5" s="94"/>
      <c r="I5" s="86"/>
      <c r="J5" s="87"/>
      <c r="K5" s="88"/>
      <c r="L5" s="19"/>
    </row>
    <row r="6" spans="1:12">
      <c r="A6" s="57"/>
      <c r="B6" s="13"/>
      <c r="C6" s="13"/>
      <c r="D6" s="13"/>
      <c r="E6" s="13"/>
      <c r="F6" s="13"/>
      <c r="G6" s="13"/>
      <c r="H6" s="13"/>
      <c r="I6" s="13"/>
      <c r="J6" s="13"/>
      <c r="K6" s="13"/>
      <c r="L6" s="19"/>
    </row>
    <row r="7" spans="1:12">
      <c r="A7" s="57"/>
      <c r="B7" s="97" t="s">
        <v>60</v>
      </c>
      <c r="C7" s="96"/>
      <c r="D7" s="95" t="s">
        <v>61</v>
      </c>
      <c r="E7" s="96"/>
      <c r="F7" s="49"/>
      <c r="G7" s="95" t="s">
        <v>62</v>
      </c>
      <c r="H7" s="96"/>
      <c r="I7" s="96"/>
      <c r="J7" s="49"/>
      <c r="K7" s="95" t="s">
        <v>63</v>
      </c>
      <c r="L7" s="19"/>
    </row>
    <row r="8" spans="1:12">
      <c r="A8" s="57"/>
      <c r="B8" s="96"/>
      <c r="C8" s="96"/>
      <c r="D8" s="96"/>
      <c r="E8" s="96"/>
      <c r="F8" s="49"/>
      <c r="G8" s="52" t="s">
        <v>81</v>
      </c>
      <c r="H8" s="52" t="s">
        <v>82</v>
      </c>
      <c r="I8" s="52" t="s">
        <v>83</v>
      </c>
      <c r="J8" s="49"/>
      <c r="K8" s="96"/>
      <c r="L8" s="19"/>
    </row>
    <row r="9" spans="1:12">
      <c r="A9" s="57"/>
      <c r="B9" s="71" t="s">
        <v>55</v>
      </c>
      <c r="C9" s="71">
        <v>1</v>
      </c>
      <c r="D9" s="71" t="s">
        <v>64</v>
      </c>
      <c r="E9" s="71"/>
      <c r="F9" s="51" t="s">
        <v>79</v>
      </c>
      <c r="G9" s="3">
        <v>18</v>
      </c>
      <c r="H9" s="3"/>
      <c r="I9" s="3"/>
      <c r="J9" s="46"/>
      <c r="K9" s="46"/>
      <c r="L9" s="19"/>
    </row>
    <row r="10" spans="1:12">
      <c r="A10" s="57"/>
      <c r="B10" s="71"/>
      <c r="C10" s="71"/>
      <c r="D10" s="71"/>
      <c r="E10" s="71"/>
      <c r="F10" s="51" t="s">
        <v>80</v>
      </c>
      <c r="G10" s="3">
        <f ca="1">SUM('MOD1-评分表'!L41)</f>
        <v>3.1</v>
      </c>
      <c r="H10" s="3"/>
      <c r="I10" s="3"/>
      <c r="J10" s="46"/>
      <c r="K10" s="3">
        <f>SUM(G10:J10)</f>
        <v>3.1</v>
      </c>
      <c r="L10" s="19"/>
    </row>
    <row r="11" spans="1:12">
      <c r="A11" s="57"/>
      <c r="B11" s="71" t="s">
        <v>55</v>
      </c>
      <c r="C11" s="71">
        <v>2</v>
      </c>
      <c r="D11" s="71" t="s">
        <v>65</v>
      </c>
      <c r="E11" s="71"/>
      <c r="F11" s="51" t="s">
        <v>79</v>
      </c>
      <c r="G11" s="3"/>
      <c r="H11" s="3">
        <v>18</v>
      </c>
      <c r="I11" s="3"/>
      <c r="J11" s="46"/>
      <c r="K11" s="46"/>
      <c r="L11" s="19"/>
    </row>
    <row r="12" spans="1:12">
      <c r="A12" s="57"/>
      <c r="B12" s="71"/>
      <c r="C12" s="71"/>
      <c r="D12" s="71"/>
      <c r="E12" s="71"/>
      <c r="F12" s="51" t="s">
        <v>80</v>
      </c>
      <c r="G12" s="3"/>
      <c r="H12" s="3">
        <f ca="1">SUM('MOD2-评分表'!L41)</f>
        <v>0</v>
      </c>
      <c r="I12" s="3"/>
      <c r="J12" s="46"/>
      <c r="K12" s="3">
        <f>SUM(G12:J12)</f>
        <v>0</v>
      </c>
      <c r="L12" s="19"/>
    </row>
    <row r="13" spans="1:12">
      <c r="A13" s="57"/>
      <c r="B13" s="71" t="s">
        <v>55</v>
      </c>
      <c r="C13" s="71">
        <v>3</v>
      </c>
      <c r="D13" s="71" t="s">
        <v>66</v>
      </c>
      <c r="E13" s="71"/>
      <c r="F13" s="51" t="s">
        <v>79</v>
      </c>
      <c r="G13" s="3"/>
      <c r="H13" s="3"/>
      <c r="I13" s="3">
        <v>18</v>
      </c>
      <c r="J13" s="46"/>
      <c r="K13" s="46"/>
      <c r="L13" s="19"/>
    </row>
    <row r="14" spans="1:12">
      <c r="A14" s="57"/>
      <c r="B14" s="71"/>
      <c r="C14" s="71"/>
      <c r="D14" s="71"/>
      <c r="E14" s="71"/>
      <c r="F14" s="51" t="s">
        <v>80</v>
      </c>
      <c r="G14" s="3"/>
      <c r="H14" s="3"/>
      <c r="I14" s="3"/>
      <c r="J14" s="46"/>
      <c r="K14" s="3">
        <f>SUM(G14:J14)</f>
        <v>0</v>
      </c>
      <c r="L14" s="19"/>
    </row>
    <row r="15" spans="1:12">
      <c r="A15" s="57"/>
      <c r="B15" s="71" t="s">
        <v>56</v>
      </c>
      <c r="C15" s="71">
        <v>1</v>
      </c>
      <c r="D15" s="71" t="s">
        <v>67</v>
      </c>
      <c r="E15" s="71"/>
      <c r="F15" s="51" t="s">
        <v>79</v>
      </c>
      <c r="G15" s="3">
        <v>7</v>
      </c>
      <c r="H15" s="3"/>
      <c r="I15" s="3"/>
      <c r="J15" s="46"/>
      <c r="K15" s="46"/>
      <c r="L15" s="19"/>
    </row>
    <row r="16" spans="1:12">
      <c r="A16" s="57"/>
      <c r="B16" s="71"/>
      <c r="C16" s="71"/>
      <c r="D16" s="71"/>
      <c r="E16" s="71"/>
      <c r="F16" s="51" t="s">
        <v>80</v>
      </c>
      <c r="G16" s="3">
        <f ca="1">SUM('MOD1-评分表'!L67)</f>
        <v>0</v>
      </c>
      <c r="H16" s="3"/>
      <c r="I16" s="3"/>
      <c r="J16" s="46"/>
      <c r="K16" s="3">
        <f>SUM(G16:J16)</f>
        <v>0</v>
      </c>
      <c r="L16" s="19"/>
    </row>
    <row r="17" spans="1:12">
      <c r="A17" s="57"/>
      <c r="B17" s="71" t="s">
        <v>56</v>
      </c>
      <c r="C17" s="71">
        <v>2</v>
      </c>
      <c r="D17" s="71" t="s">
        <v>68</v>
      </c>
      <c r="E17" s="71"/>
      <c r="F17" s="51" t="s">
        <v>79</v>
      </c>
      <c r="G17" s="3"/>
      <c r="H17" s="3">
        <v>7</v>
      </c>
      <c r="I17" s="3"/>
      <c r="J17" s="46"/>
      <c r="K17" s="46"/>
      <c r="L17" s="19"/>
    </row>
    <row r="18" spans="1:12">
      <c r="A18" s="57"/>
      <c r="B18" s="71"/>
      <c r="C18" s="71"/>
      <c r="D18" s="71"/>
      <c r="E18" s="71"/>
      <c r="F18" s="51" t="s">
        <v>80</v>
      </c>
      <c r="G18" s="3"/>
      <c r="H18" s="3">
        <f ca="1">SUM('MOD2-评分表'!L67)</f>
        <v>0</v>
      </c>
      <c r="I18" s="3"/>
      <c r="J18" s="46"/>
      <c r="K18" s="3">
        <f>SUM(G18:J18)</f>
        <v>0</v>
      </c>
      <c r="L18" s="19"/>
    </row>
    <row r="19" spans="1:12">
      <c r="A19" s="57"/>
      <c r="B19" s="71" t="s">
        <v>56</v>
      </c>
      <c r="C19" s="71">
        <v>3</v>
      </c>
      <c r="D19" s="71" t="s">
        <v>69</v>
      </c>
      <c r="E19" s="71"/>
      <c r="F19" s="51" t="s">
        <v>79</v>
      </c>
      <c r="G19" s="3"/>
      <c r="H19" s="3"/>
      <c r="I19" s="3">
        <v>7</v>
      </c>
      <c r="J19" s="46"/>
      <c r="K19" s="46"/>
      <c r="L19" s="19"/>
    </row>
    <row r="20" spans="1:12">
      <c r="A20" s="57"/>
      <c r="B20" s="71"/>
      <c r="C20" s="71"/>
      <c r="D20" s="71"/>
      <c r="E20" s="71"/>
      <c r="F20" s="51" t="s">
        <v>80</v>
      </c>
      <c r="G20" s="3"/>
      <c r="H20" s="3"/>
      <c r="I20" s="3"/>
      <c r="J20" s="46"/>
      <c r="K20" s="3">
        <f>SUM(G20:J20)</f>
        <v>0</v>
      </c>
      <c r="L20" s="19"/>
    </row>
    <row r="21" spans="1:12">
      <c r="A21" s="57"/>
      <c r="B21" s="71" t="s">
        <v>57</v>
      </c>
      <c r="C21" s="71">
        <v>1</v>
      </c>
      <c r="D21" s="71" t="s">
        <v>70</v>
      </c>
      <c r="E21" s="71"/>
      <c r="F21" s="51" t="s">
        <v>79</v>
      </c>
      <c r="G21" s="3">
        <v>3</v>
      </c>
      <c r="H21" s="3"/>
      <c r="I21" s="3"/>
      <c r="J21" s="46"/>
      <c r="K21" s="46"/>
      <c r="L21" s="19"/>
    </row>
    <row r="22" spans="1:12">
      <c r="A22" s="57"/>
      <c r="B22" s="71"/>
      <c r="C22" s="71"/>
      <c r="D22" s="71"/>
      <c r="E22" s="71"/>
      <c r="F22" s="51" t="s">
        <v>80</v>
      </c>
      <c r="G22" s="3">
        <f ca="1">SUM('MOD1-评分表'!L78)</f>
        <v>0</v>
      </c>
      <c r="H22" s="3"/>
      <c r="I22" s="3"/>
      <c r="J22" s="46"/>
      <c r="K22" s="3">
        <f>SUM(G22:J22)</f>
        <v>0</v>
      </c>
      <c r="L22" s="19"/>
    </row>
    <row r="23" spans="1:12">
      <c r="A23" s="57"/>
      <c r="B23" s="71" t="s">
        <v>57</v>
      </c>
      <c r="C23" s="71">
        <v>2</v>
      </c>
      <c r="D23" s="71" t="s">
        <v>71</v>
      </c>
      <c r="E23" s="71"/>
      <c r="F23" s="51" t="s">
        <v>79</v>
      </c>
      <c r="G23" s="3"/>
      <c r="H23" s="3">
        <v>3</v>
      </c>
      <c r="I23" s="3"/>
      <c r="J23" s="46"/>
      <c r="K23" s="46"/>
      <c r="L23" s="19"/>
    </row>
    <row r="24" spans="1:12">
      <c r="A24" s="57"/>
      <c r="B24" s="71"/>
      <c r="C24" s="71"/>
      <c r="D24" s="71"/>
      <c r="E24" s="71"/>
      <c r="F24" s="51" t="s">
        <v>80</v>
      </c>
      <c r="G24" s="3"/>
      <c r="H24" s="3">
        <f ca="1">SUM('MOD2-评分表'!L78)</f>
        <v>0</v>
      </c>
      <c r="I24" s="3"/>
      <c r="J24" s="46"/>
      <c r="K24" s="3">
        <f>SUM(G24:J24)</f>
        <v>0</v>
      </c>
      <c r="L24" s="19"/>
    </row>
    <row r="25" spans="1:12">
      <c r="A25" s="57"/>
      <c r="B25" s="71" t="s">
        <v>57</v>
      </c>
      <c r="C25" s="71">
        <v>3</v>
      </c>
      <c r="D25" s="71" t="s">
        <v>72</v>
      </c>
      <c r="E25" s="71"/>
      <c r="F25" s="51" t="s">
        <v>79</v>
      </c>
      <c r="G25" s="3"/>
      <c r="H25" s="3"/>
      <c r="I25" s="3">
        <v>3</v>
      </c>
      <c r="J25" s="46"/>
      <c r="K25" s="46"/>
      <c r="L25" s="19"/>
    </row>
    <row r="26" spans="1:12">
      <c r="A26" s="57"/>
      <c r="B26" s="71"/>
      <c r="C26" s="71"/>
      <c r="D26" s="71"/>
      <c r="E26" s="71"/>
      <c r="F26" s="51" t="s">
        <v>80</v>
      </c>
      <c r="G26" s="3"/>
      <c r="H26" s="3"/>
      <c r="I26" s="3"/>
      <c r="J26" s="46"/>
      <c r="K26" s="3">
        <f>SUM(G26:J26)</f>
        <v>0</v>
      </c>
      <c r="L26" s="19"/>
    </row>
    <row r="27" spans="1:12">
      <c r="A27" s="57"/>
      <c r="B27" s="71" t="s">
        <v>58</v>
      </c>
      <c r="C27" s="71">
        <v>1</v>
      </c>
      <c r="D27" s="71" t="s">
        <v>73</v>
      </c>
      <c r="E27" s="71"/>
      <c r="F27" s="51" t="s">
        <v>79</v>
      </c>
      <c r="G27" s="3">
        <v>3.3</v>
      </c>
      <c r="H27" s="3"/>
      <c r="I27" s="3"/>
      <c r="J27" s="46"/>
      <c r="K27" s="46"/>
      <c r="L27" s="19"/>
    </row>
    <row r="28" spans="1:12">
      <c r="A28" s="57"/>
      <c r="B28" s="71"/>
      <c r="C28" s="71"/>
      <c r="D28" s="71"/>
      <c r="E28" s="71"/>
      <c r="F28" s="51" t="s">
        <v>80</v>
      </c>
      <c r="G28" s="3">
        <f ca="1">SUM('MOD1-评分表'!L94)</f>
        <v>0</v>
      </c>
      <c r="H28" s="3"/>
      <c r="I28" s="3"/>
      <c r="J28" s="46"/>
      <c r="K28" s="3">
        <f>SUM(G28:J28)</f>
        <v>0</v>
      </c>
      <c r="L28" s="19"/>
    </row>
    <row r="29" spans="1:12">
      <c r="A29" s="57"/>
      <c r="B29" s="71" t="s">
        <v>58</v>
      </c>
      <c r="C29" s="71">
        <v>2</v>
      </c>
      <c r="D29" s="71" t="s">
        <v>74</v>
      </c>
      <c r="E29" s="71"/>
      <c r="F29" s="51" t="s">
        <v>79</v>
      </c>
      <c r="G29" s="3"/>
      <c r="H29" s="3">
        <v>3.3</v>
      </c>
      <c r="I29" s="3"/>
      <c r="J29" s="46"/>
      <c r="K29" s="46"/>
      <c r="L29" s="19"/>
    </row>
    <row r="30" spans="1:12">
      <c r="A30" s="57"/>
      <c r="B30" s="71"/>
      <c r="C30" s="71"/>
      <c r="D30" s="71"/>
      <c r="E30" s="71"/>
      <c r="F30" s="51" t="s">
        <v>80</v>
      </c>
      <c r="G30" s="3"/>
      <c r="H30" s="3">
        <f ca="1">SUM('MOD2-评分表'!L94)</f>
        <v>0</v>
      </c>
      <c r="I30" s="3"/>
      <c r="J30" s="46"/>
      <c r="K30" s="3">
        <f>SUM(G30:J30)</f>
        <v>0</v>
      </c>
      <c r="L30" s="19"/>
    </row>
    <row r="31" spans="1:12">
      <c r="A31" s="57"/>
      <c r="B31" s="71" t="s">
        <v>58</v>
      </c>
      <c r="C31" s="71">
        <v>3</v>
      </c>
      <c r="D31" s="71" t="s">
        <v>75</v>
      </c>
      <c r="E31" s="71"/>
      <c r="F31" s="51" t="s">
        <v>79</v>
      </c>
      <c r="G31" s="3"/>
      <c r="H31" s="3"/>
      <c r="I31" s="3">
        <v>3.4</v>
      </c>
      <c r="J31" s="46"/>
      <c r="K31" s="46"/>
      <c r="L31" s="19"/>
    </row>
    <row r="32" spans="1:12">
      <c r="A32" s="57"/>
      <c r="B32" s="71"/>
      <c r="C32" s="71"/>
      <c r="D32" s="71"/>
      <c r="E32" s="71"/>
      <c r="F32" s="51" t="s">
        <v>80</v>
      </c>
      <c r="G32" s="3"/>
      <c r="H32" s="3"/>
      <c r="I32" s="3"/>
      <c r="J32" s="46"/>
      <c r="K32" s="3">
        <f>SUM(G32:J32)</f>
        <v>0</v>
      </c>
      <c r="L32" s="19"/>
    </row>
    <row r="33" spans="1:12">
      <c r="A33" s="57"/>
      <c r="B33" s="71" t="s">
        <v>59</v>
      </c>
      <c r="C33" s="71">
        <v>1</v>
      </c>
      <c r="D33" s="71" t="s">
        <v>76</v>
      </c>
      <c r="E33" s="71"/>
      <c r="F33" s="51" t="s">
        <v>79</v>
      </c>
      <c r="G33" s="3">
        <v>2</v>
      </c>
      <c r="H33" s="3"/>
      <c r="I33" s="3"/>
      <c r="J33" s="46"/>
      <c r="K33" s="46"/>
      <c r="L33" s="19"/>
    </row>
    <row r="34" spans="1:12">
      <c r="A34" s="57"/>
      <c r="B34" s="71"/>
      <c r="C34" s="71"/>
      <c r="D34" s="71"/>
      <c r="E34" s="71"/>
      <c r="F34" s="51" t="s">
        <v>80</v>
      </c>
      <c r="G34" s="3">
        <f ca="1">SUM('MOD1-评分表'!L98)</f>
        <v>3</v>
      </c>
      <c r="H34" s="3"/>
      <c r="I34" s="3"/>
      <c r="J34" s="46"/>
      <c r="K34" s="3">
        <f>SUM(G34:J34)</f>
        <v>3</v>
      </c>
      <c r="L34" s="19"/>
    </row>
    <row r="35" spans="1:12">
      <c r="A35" s="57"/>
      <c r="B35" s="71" t="s">
        <v>59</v>
      </c>
      <c r="C35" s="71">
        <v>2</v>
      </c>
      <c r="D35" s="71" t="s">
        <v>77</v>
      </c>
      <c r="E35" s="71"/>
      <c r="F35" s="51" t="s">
        <v>79</v>
      </c>
      <c r="G35" s="3"/>
      <c r="H35" s="3">
        <v>2</v>
      </c>
      <c r="I35" s="3"/>
      <c r="J35" s="46"/>
      <c r="K35" s="46"/>
      <c r="L35" s="19"/>
    </row>
    <row r="36" spans="1:12">
      <c r="A36" s="57"/>
      <c r="B36" s="71"/>
      <c r="C36" s="71"/>
      <c r="D36" s="71"/>
      <c r="E36" s="71"/>
      <c r="F36" s="51" t="s">
        <v>80</v>
      </c>
      <c r="G36" s="3"/>
      <c r="H36" s="3">
        <f ca="1">SUM('MOD2-评分表'!L98)</f>
        <v>3</v>
      </c>
      <c r="I36" s="3"/>
      <c r="J36" s="46"/>
      <c r="K36" s="3">
        <f>SUM(G36:J36)</f>
        <v>3</v>
      </c>
      <c r="L36" s="19"/>
    </row>
    <row r="37" spans="1:12">
      <c r="A37" s="57"/>
      <c r="B37" s="71" t="s">
        <v>59</v>
      </c>
      <c r="C37" s="71">
        <v>3</v>
      </c>
      <c r="D37" s="71" t="s">
        <v>78</v>
      </c>
      <c r="E37" s="71"/>
      <c r="F37" s="51" t="s">
        <v>79</v>
      </c>
      <c r="G37" s="3"/>
      <c r="H37" s="3"/>
      <c r="I37" s="3">
        <v>2</v>
      </c>
      <c r="J37" s="46"/>
      <c r="K37" s="46"/>
      <c r="L37" s="19"/>
    </row>
    <row r="38" spans="1:12">
      <c r="A38" s="57"/>
      <c r="B38" s="71"/>
      <c r="C38" s="71"/>
      <c r="D38" s="71"/>
      <c r="E38" s="71"/>
      <c r="F38" s="51" t="s">
        <v>80</v>
      </c>
      <c r="G38" s="3"/>
      <c r="H38" s="3"/>
      <c r="I38" s="3"/>
      <c r="J38" s="46"/>
      <c r="K38" s="3">
        <f>SUM(G38:J38)</f>
        <v>0</v>
      </c>
      <c r="L38" s="19"/>
    </row>
    <row r="39" spans="1:12">
      <c r="A39" s="57"/>
      <c r="B39" s="53"/>
      <c r="C39" s="53"/>
      <c r="D39" s="53"/>
      <c r="E39" s="50"/>
      <c r="F39" s="48"/>
      <c r="G39" s="47"/>
      <c r="H39" s="47"/>
      <c r="I39" s="47"/>
      <c r="J39" s="47"/>
      <c r="K39" s="47"/>
      <c r="L39" s="19"/>
    </row>
    <row r="40" spans="1:12">
      <c r="A40" s="57"/>
      <c r="B40" s="53"/>
      <c r="C40" s="53"/>
      <c r="D40" s="53"/>
      <c r="E40" s="50"/>
      <c r="F40" s="51" t="s">
        <v>79</v>
      </c>
      <c r="G40" s="3">
        <f>SUM(G9+G15+G21+G27+G33)</f>
        <v>33.299999999999997</v>
      </c>
      <c r="H40" s="3">
        <f>SUM(H11+H17+H23+H29+H35)</f>
        <v>33.299999999999997</v>
      </c>
      <c r="I40" s="3">
        <f>SUM(I13+I19+I25+I31+I37)</f>
        <v>33.4</v>
      </c>
      <c r="J40" s="51" t="s">
        <v>79</v>
      </c>
      <c r="K40" s="3">
        <f>SUM(G40:J40)</f>
        <v>100</v>
      </c>
      <c r="L40" s="19"/>
    </row>
    <row r="41" spans="1:12" ht="14.25" customHeight="1">
      <c r="A41" s="57"/>
      <c r="B41" s="53"/>
      <c r="C41" s="53"/>
      <c r="D41" s="53"/>
      <c r="E41" s="50"/>
      <c r="F41" s="51" t="s">
        <v>80</v>
      </c>
      <c r="G41" s="3">
        <f>SUM(G10+G16+G22+G28+G34)</f>
        <v>6.1</v>
      </c>
      <c r="H41" s="3">
        <f>SUM(H12+H18+H24+H30+H36)</f>
        <v>3</v>
      </c>
      <c r="I41" s="3">
        <v>0</v>
      </c>
      <c r="J41" s="51" t="s">
        <v>84</v>
      </c>
      <c r="K41" s="59">
        <f>SUM(G41:J41)</f>
        <v>9.1</v>
      </c>
      <c r="L41" s="19"/>
    </row>
    <row r="42" spans="1:12">
      <c r="A42" s="57"/>
      <c r="B42" s="53"/>
      <c r="C42" s="53"/>
      <c r="D42" s="53"/>
      <c r="E42" s="50"/>
      <c r="F42" s="47"/>
      <c r="G42" s="47"/>
      <c r="H42" s="47"/>
      <c r="I42" s="47"/>
      <c r="J42" s="47"/>
      <c r="K42" s="13"/>
      <c r="L42" s="19"/>
    </row>
    <row r="43" spans="1:12">
      <c r="A43" s="57"/>
      <c r="B43" s="53"/>
      <c r="C43" s="53"/>
      <c r="D43" s="53"/>
      <c r="E43" s="50"/>
      <c r="F43" s="47"/>
      <c r="G43" s="78" t="s">
        <v>86</v>
      </c>
      <c r="H43" s="78"/>
      <c r="I43" s="79"/>
      <c r="J43" s="79"/>
      <c r="K43" s="79"/>
      <c r="L43" s="19"/>
    </row>
    <row r="44" spans="1:12">
      <c r="A44" s="57"/>
      <c r="B44" s="13"/>
      <c r="C44" s="13"/>
      <c r="D44" s="13"/>
      <c r="E44" s="13"/>
      <c r="F44" s="13"/>
      <c r="G44" s="78"/>
      <c r="H44" s="78"/>
      <c r="I44" s="79"/>
      <c r="J44" s="79"/>
      <c r="K44" s="79"/>
      <c r="L44" s="19"/>
    </row>
    <row r="45" spans="1:12">
      <c r="A45" s="57"/>
      <c r="B45" s="13"/>
      <c r="C45" s="13"/>
      <c r="D45" s="13"/>
      <c r="E45" s="13"/>
      <c r="F45" s="13"/>
      <c r="G45" s="80" t="s">
        <v>85</v>
      </c>
      <c r="H45" s="81"/>
      <c r="I45" s="72"/>
      <c r="J45" s="73"/>
      <c r="K45" s="74"/>
      <c r="L45" s="19"/>
    </row>
    <row r="46" spans="1:12">
      <c r="A46" s="57"/>
      <c r="B46" s="13"/>
      <c r="C46" s="13"/>
      <c r="D46" s="13"/>
      <c r="E46" s="13"/>
      <c r="F46" s="13"/>
      <c r="G46" s="82"/>
      <c r="H46" s="83"/>
      <c r="I46" s="75"/>
      <c r="J46" s="76"/>
      <c r="K46" s="77"/>
      <c r="L46" s="19"/>
    </row>
    <row r="47" spans="1:12" ht="15" thickBot="1">
      <c r="A47" s="58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5"/>
    </row>
  </sheetData>
  <protectedRanges>
    <protectedRange sqref="B2" name="区域1"/>
    <protectedRange sqref="E4:F5" name="区域2"/>
    <protectedRange sqref="I4:K5" name="区域3"/>
  </protectedRanges>
  <mergeCells count="62">
    <mergeCell ref="B21:B22"/>
    <mergeCell ref="C21:C22"/>
    <mergeCell ref="D21:E22"/>
    <mergeCell ref="D19:E20"/>
    <mergeCell ref="B19:B20"/>
    <mergeCell ref="C19:C20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D13:E14"/>
    <mergeCell ref="B13:B14"/>
    <mergeCell ref="C13:C14"/>
    <mergeCell ref="B17:B18"/>
    <mergeCell ref="C17:C18"/>
    <mergeCell ref="D17:E18"/>
    <mergeCell ref="B15:B16"/>
    <mergeCell ref="C15:C16"/>
    <mergeCell ref="D15:E16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B23:B24"/>
    <mergeCell ref="C23:C24"/>
    <mergeCell ref="D23:E24"/>
    <mergeCell ref="C37:C38"/>
    <mergeCell ref="B27:B28"/>
    <mergeCell ref="C27:C28"/>
    <mergeCell ref="B37:B38"/>
    <mergeCell ref="D33:E34"/>
    <mergeCell ref="B33:B34"/>
    <mergeCell ref="B29:B30"/>
    <mergeCell ref="D31:E32"/>
    <mergeCell ref="B35:B36"/>
    <mergeCell ref="C35:C36"/>
    <mergeCell ref="D35:E36"/>
    <mergeCell ref="B31:B32"/>
    <mergeCell ref="C29:C30"/>
    <mergeCell ref="C33:C34"/>
    <mergeCell ref="C31:C32"/>
    <mergeCell ref="D27:E28"/>
    <mergeCell ref="B25:B26"/>
    <mergeCell ref="C25:C26"/>
    <mergeCell ref="D25:E26"/>
    <mergeCell ref="I45:K46"/>
    <mergeCell ref="G43:H44"/>
    <mergeCell ref="I43:K44"/>
    <mergeCell ref="D37:E38"/>
    <mergeCell ref="G45:H46"/>
    <mergeCell ref="D29:E30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104"/>
  <sheetViews>
    <sheetView topLeftCell="A67" workbookViewId="0">
      <selection activeCell="Y104" sqref="Y104"/>
    </sheetView>
  </sheetViews>
  <sheetFormatPr defaultRowHeight="14.4"/>
  <cols>
    <col min="2" max="2" width="4.77734375" customWidth="1"/>
    <col min="3" max="3" width="5.109375" customWidth="1"/>
    <col min="6" max="6" width="9.88671875" customWidth="1"/>
    <col min="7" max="9" width="8.88671875" style="7"/>
    <col min="10" max="10" width="9.109375" style="7" bestFit="1" customWidth="1"/>
    <col min="11" max="11" width="8.88671875" style="7"/>
    <col min="12" max="13" width="6.6640625" customWidth="1"/>
    <col min="15" max="23" width="9" hidden="1" customWidth="1"/>
    <col min="24" max="24" width="0" hidden="1" customWidth="1"/>
  </cols>
  <sheetData>
    <row r="1" spans="2:13" ht="16.5" customHeight="1">
      <c r="B1" s="100" t="s">
        <v>90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2:13" ht="16.5" customHeight="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3" ht="16.5" customHeight="1">
      <c r="B3" s="106" t="s">
        <v>40</v>
      </c>
      <c r="C3" s="90"/>
      <c r="D3" s="91"/>
      <c r="E3" s="89" t="str">
        <f ca="1">T(成绩单!E4)</f>
        <v/>
      </c>
      <c r="F3" s="91"/>
      <c r="G3" s="89" t="s">
        <v>46</v>
      </c>
      <c r="H3" s="91"/>
      <c r="I3" s="89" t="str">
        <f ca="1">T(成绩单!I4)</f>
        <v/>
      </c>
      <c r="J3" s="91"/>
      <c r="K3" s="10"/>
      <c r="L3" s="78"/>
      <c r="M3" s="110"/>
    </row>
    <row r="4" spans="2:13" ht="16.5" customHeight="1" thickBot="1">
      <c r="B4" s="107" t="s">
        <v>41</v>
      </c>
      <c r="C4" s="108"/>
      <c r="D4" s="109"/>
      <c r="E4" s="98" t="str">
        <f ca="1">T(成绩单!E5)</f>
        <v/>
      </c>
      <c r="F4" s="109"/>
      <c r="G4" s="98" t="s">
        <v>47</v>
      </c>
      <c r="H4" s="109"/>
      <c r="I4" s="111" t="s">
        <v>45</v>
      </c>
      <c r="J4" s="111"/>
      <c r="K4" s="15" t="s">
        <v>42</v>
      </c>
      <c r="L4" s="98">
        <f>SUM(L7:L97)</f>
        <v>9.1999999999999993</v>
      </c>
      <c r="M4" s="99"/>
    </row>
    <row r="5" spans="2:13" ht="5.25" customHeight="1" thickBot="1"/>
    <row r="6" spans="2:13" ht="1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3" t="s">
        <v>87</v>
      </c>
    </row>
    <row r="7" spans="2:13">
      <c r="B7" s="60" t="s">
        <v>28</v>
      </c>
      <c r="C7" s="61"/>
      <c r="D7" s="61"/>
      <c r="E7" s="61"/>
      <c r="F7" s="61"/>
      <c r="G7" s="61"/>
      <c r="H7" s="61"/>
      <c r="I7" s="61"/>
      <c r="J7" s="61"/>
      <c r="K7" s="61"/>
      <c r="L7" s="63" t="s">
        <v>88</v>
      </c>
      <c r="M7" s="64">
        <v>3.0000000000000001E-3</v>
      </c>
    </row>
    <row r="8" spans="2:13">
      <c r="B8" s="16">
        <v>1</v>
      </c>
      <c r="C8" s="3">
        <v>2</v>
      </c>
      <c r="D8" s="3" t="s">
        <v>92</v>
      </c>
      <c r="E8" s="65" t="s">
        <v>93</v>
      </c>
      <c r="F8" s="3">
        <v>28</v>
      </c>
      <c r="G8" s="3">
        <v>2.1000000000000001E-2</v>
      </c>
      <c r="H8" s="3">
        <v>0</v>
      </c>
      <c r="I8" s="3">
        <v>28.021000000000001</v>
      </c>
      <c r="J8" s="3">
        <v>28</v>
      </c>
      <c r="K8" s="5"/>
      <c r="L8" s="3">
        <f>IF(K8&gt;=(J8-M8-$M$7),(IF(K8&lt;=(I8+M8+$M$7),C8,0)),0)</f>
        <v>0</v>
      </c>
      <c r="M8" s="17"/>
    </row>
    <row r="9" spans="2:13">
      <c r="B9" s="16">
        <v>2</v>
      </c>
      <c r="C9" s="3">
        <v>0.7</v>
      </c>
      <c r="D9" s="3" t="s">
        <v>94</v>
      </c>
      <c r="E9" s="65" t="s">
        <v>93</v>
      </c>
      <c r="F9" s="3">
        <v>10</v>
      </c>
      <c r="G9" s="3">
        <v>1.4999999999999999E-2</v>
      </c>
      <c r="H9" s="3">
        <v>0</v>
      </c>
      <c r="I9" s="3">
        <v>10.015000000000001</v>
      </c>
      <c r="J9" s="3">
        <v>10</v>
      </c>
      <c r="K9" s="5"/>
      <c r="L9" s="3">
        <f>IF(K9&gt;=(J9-M9-$M$7),(IF(K9&lt;=(I9+M9+$M$7),C9,0)),0)</f>
        <v>0</v>
      </c>
      <c r="M9" s="17"/>
    </row>
    <row r="10" spans="2:13">
      <c r="B10" s="16">
        <v>3</v>
      </c>
      <c r="C10" s="3">
        <v>0.7</v>
      </c>
      <c r="D10" s="3" t="s">
        <v>94</v>
      </c>
      <c r="E10" s="65" t="s">
        <v>93</v>
      </c>
      <c r="F10" s="3">
        <v>10</v>
      </c>
      <c r="G10" s="3">
        <v>1.4999999999999999E-2</v>
      </c>
      <c r="H10" s="3">
        <v>0</v>
      </c>
      <c r="I10" s="3">
        <v>10.015000000000001</v>
      </c>
      <c r="J10" s="3">
        <v>10</v>
      </c>
      <c r="K10" s="5"/>
      <c r="L10" s="3">
        <f t="shared" ref="L10:L23" si="0">IF(K10&gt;=(J11-M10-$M$7),(IF(K10&lt;=(I11+M10+$M$7),C10,0)),0)</f>
        <v>0</v>
      </c>
      <c r="M10" s="17"/>
    </row>
    <row r="11" spans="2:13">
      <c r="B11" s="16">
        <v>4</v>
      </c>
      <c r="C11" s="3">
        <v>1.2</v>
      </c>
      <c r="D11" s="3" t="s">
        <v>95</v>
      </c>
      <c r="E11" s="65" t="s">
        <v>96</v>
      </c>
      <c r="F11" s="3">
        <v>98</v>
      </c>
      <c r="G11" s="3">
        <v>-0.06</v>
      </c>
      <c r="H11" s="3">
        <v>-9.5000000000000001E-2</v>
      </c>
      <c r="I11" s="3">
        <v>97.94</v>
      </c>
      <c r="J11" s="3">
        <v>97.905000000000001</v>
      </c>
      <c r="K11" s="5"/>
      <c r="L11" s="3">
        <f t="shared" si="0"/>
        <v>0</v>
      </c>
      <c r="M11" s="17"/>
    </row>
    <row r="12" spans="2:13">
      <c r="B12" s="16">
        <v>5</v>
      </c>
      <c r="C12" s="3">
        <v>1.2</v>
      </c>
      <c r="D12" s="3" t="s">
        <v>97</v>
      </c>
      <c r="E12" s="65" t="s">
        <v>96</v>
      </c>
      <c r="F12" s="3">
        <v>98</v>
      </c>
      <c r="G12" s="3">
        <v>9.5000000000000001E-2</v>
      </c>
      <c r="H12" s="3">
        <v>0.06</v>
      </c>
      <c r="I12" s="3">
        <v>98.094999999999999</v>
      </c>
      <c r="J12" s="3">
        <v>98.06</v>
      </c>
      <c r="K12" s="5"/>
      <c r="L12" s="3">
        <f t="shared" si="0"/>
        <v>0</v>
      </c>
      <c r="M12" s="17"/>
    </row>
    <row r="13" spans="2:13">
      <c r="B13" s="16">
        <v>6</v>
      </c>
      <c r="C13" s="3">
        <v>1.3</v>
      </c>
      <c r="D13" s="3" t="s">
        <v>97</v>
      </c>
      <c r="E13" s="65" t="s">
        <v>96</v>
      </c>
      <c r="F13" s="3">
        <v>74</v>
      </c>
      <c r="G13" s="3">
        <v>0</v>
      </c>
      <c r="H13" s="3">
        <v>-3.5000000000000003E-2</v>
      </c>
      <c r="I13" s="3">
        <v>74</v>
      </c>
      <c r="J13" s="3">
        <v>73.965000000000003</v>
      </c>
      <c r="K13" s="5"/>
      <c r="L13" s="3">
        <f t="shared" si="0"/>
        <v>0</v>
      </c>
      <c r="M13" s="17"/>
    </row>
    <row r="14" spans="2:13">
      <c r="B14" s="16">
        <v>7</v>
      </c>
      <c r="C14" s="3">
        <v>1.3</v>
      </c>
      <c r="D14" s="3" t="s">
        <v>99</v>
      </c>
      <c r="E14" s="65" t="s">
        <v>96</v>
      </c>
      <c r="F14" s="3">
        <v>50</v>
      </c>
      <c r="G14" s="3">
        <v>0</v>
      </c>
      <c r="H14" s="3">
        <v>-0.02</v>
      </c>
      <c r="I14" s="3">
        <v>50</v>
      </c>
      <c r="J14" s="3">
        <v>49.98</v>
      </c>
      <c r="K14" s="5"/>
      <c r="L14" s="3">
        <f t="shared" si="0"/>
        <v>0</v>
      </c>
      <c r="M14" s="17"/>
    </row>
    <row r="15" spans="2:13">
      <c r="B15" s="16">
        <v>8</v>
      </c>
      <c r="C15" s="3">
        <v>1.3</v>
      </c>
      <c r="D15" s="3" t="s">
        <v>99</v>
      </c>
      <c r="E15" s="65" t="s">
        <v>96</v>
      </c>
      <c r="F15" s="3">
        <v>5</v>
      </c>
      <c r="G15" s="3">
        <v>0</v>
      </c>
      <c r="H15" s="3">
        <v>-0.02</v>
      </c>
      <c r="I15" s="3">
        <v>5</v>
      </c>
      <c r="J15" s="3">
        <v>4.9800000000000004</v>
      </c>
      <c r="K15" s="5"/>
      <c r="L15" s="3">
        <f t="shared" si="0"/>
        <v>0</v>
      </c>
      <c r="M15" s="17"/>
    </row>
    <row r="16" spans="2:13">
      <c r="B16" s="16">
        <v>9</v>
      </c>
      <c r="C16" s="3">
        <v>1.5</v>
      </c>
      <c r="D16" s="3" t="s">
        <v>100</v>
      </c>
      <c r="E16" s="65" t="s">
        <v>96</v>
      </c>
      <c r="F16" s="3">
        <v>14</v>
      </c>
      <c r="G16" s="3">
        <v>0.02</v>
      </c>
      <c r="H16" s="3">
        <v>0</v>
      </c>
      <c r="I16" s="3">
        <v>14.02</v>
      </c>
      <c r="J16" s="3">
        <v>14</v>
      </c>
      <c r="K16" s="5"/>
      <c r="L16" s="3">
        <f t="shared" si="0"/>
        <v>0</v>
      </c>
      <c r="M16" s="17"/>
    </row>
    <row r="17" spans="2:13">
      <c r="B17" s="16">
        <v>10</v>
      </c>
      <c r="C17" s="3">
        <v>1.2</v>
      </c>
      <c r="D17" s="3" t="s">
        <v>98</v>
      </c>
      <c r="E17" s="65" t="s">
        <v>96</v>
      </c>
      <c r="F17" s="3">
        <v>20</v>
      </c>
      <c r="G17" s="3">
        <v>0</v>
      </c>
      <c r="H17" s="3">
        <v>-2.1000000000000001E-2</v>
      </c>
      <c r="I17" s="3">
        <v>20</v>
      </c>
      <c r="J17" s="3">
        <v>19.978999999999999</v>
      </c>
      <c r="K17" s="5"/>
      <c r="L17" s="3">
        <f t="shared" si="0"/>
        <v>0</v>
      </c>
      <c r="M17" s="17"/>
    </row>
    <row r="18" spans="2:13">
      <c r="B18" s="16">
        <v>11</v>
      </c>
      <c r="C18" s="3">
        <v>1.2</v>
      </c>
      <c r="D18" s="3" t="s">
        <v>100</v>
      </c>
      <c r="E18" s="65" t="s">
        <v>96</v>
      </c>
      <c r="F18" s="3">
        <v>12</v>
      </c>
      <c r="G18" s="3">
        <v>2.1000000000000001E-2</v>
      </c>
      <c r="H18" s="3">
        <v>0</v>
      </c>
      <c r="I18" s="3">
        <v>12.021000000000001</v>
      </c>
      <c r="J18" s="3">
        <v>12</v>
      </c>
      <c r="K18" s="5"/>
      <c r="L18" s="3">
        <f t="shared" si="0"/>
        <v>0</v>
      </c>
      <c r="M18" s="17"/>
    </row>
    <row r="19" spans="2:13">
      <c r="B19" s="16">
        <v>12</v>
      </c>
      <c r="C19" s="3">
        <v>1.2</v>
      </c>
      <c r="D19" s="3" t="s">
        <v>101</v>
      </c>
      <c r="E19" s="65" t="s">
        <v>96</v>
      </c>
      <c r="F19" s="3">
        <v>12</v>
      </c>
      <c r="G19" s="3">
        <v>5.8999999999999997E-2</v>
      </c>
      <c r="H19" s="3">
        <v>3.2000000000000001E-2</v>
      </c>
      <c r="I19" s="3">
        <v>12.058999999999999</v>
      </c>
      <c r="J19" s="3">
        <v>12.032</v>
      </c>
      <c r="K19" s="5"/>
      <c r="L19" s="3">
        <f t="shared" si="0"/>
        <v>0</v>
      </c>
      <c r="M19" s="17"/>
    </row>
    <row r="20" spans="2:13">
      <c r="B20" s="16">
        <v>13</v>
      </c>
      <c r="C20" s="3">
        <v>1.5</v>
      </c>
      <c r="D20" s="3" t="s">
        <v>102</v>
      </c>
      <c r="E20" s="65" t="s">
        <v>96</v>
      </c>
      <c r="F20" s="3">
        <v>5</v>
      </c>
      <c r="G20" s="3">
        <v>0</v>
      </c>
      <c r="H20" s="3">
        <v>-0.03</v>
      </c>
      <c r="I20" s="3">
        <v>5</v>
      </c>
      <c r="J20" s="3">
        <v>4.97</v>
      </c>
      <c r="K20" s="5"/>
      <c r="L20" s="3">
        <f t="shared" si="0"/>
        <v>0</v>
      </c>
      <c r="M20" s="17"/>
    </row>
    <row r="21" spans="2:13">
      <c r="B21" s="16">
        <v>14</v>
      </c>
      <c r="C21" s="3">
        <v>1.3</v>
      </c>
      <c r="D21" s="3" t="s">
        <v>103</v>
      </c>
      <c r="E21" s="65" t="s">
        <v>96</v>
      </c>
      <c r="F21" s="3">
        <v>11</v>
      </c>
      <c r="G21" s="3">
        <v>0.02</v>
      </c>
      <c r="H21" s="3">
        <v>0</v>
      </c>
      <c r="I21" s="3">
        <v>11.02</v>
      </c>
      <c r="J21" s="3">
        <v>11</v>
      </c>
      <c r="K21" s="5"/>
      <c r="L21" s="3">
        <f t="shared" si="0"/>
        <v>0</v>
      </c>
      <c r="M21" s="17"/>
    </row>
    <row r="22" spans="2:13">
      <c r="B22" s="16">
        <v>15</v>
      </c>
      <c r="C22" s="3">
        <v>1.2</v>
      </c>
      <c r="D22" s="3" t="s">
        <v>104</v>
      </c>
      <c r="E22" s="65" t="s">
        <v>105</v>
      </c>
      <c r="F22" s="3">
        <v>44</v>
      </c>
      <c r="G22" s="3">
        <v>0</v>
      </c>
      <c r="H22" s="3">
        <v>-0.1</v>
      </c>
      <c r="I22" s="3">
        <v>44</v>
      </c>
      <c r="J22" s="3">
        <v>43.9</v>
      </c>
      <c r="K22" s="5"/>
      <c r="L22" s="3">
        <f t="shared" si="0"/>
        <v>0</v>
      </c>
      <c r="M22" s="17"/>
    </row>
    <row r="23" spans="2:13">
      <c r="B23" s="16">
        <v>16</v>
      </c>
      <c r="C23" s="3">
        <v>1.6</v>
      </c>
      <c r="D23" s="3" t="s">
        <v>104</v>
      </c>
      <c r="E23" s="65" t="s">
        <v>105</v>
      </c>
      <c r="F23" s="3">
        <v>29</v>
      </c>
      <c r="G23" s="3">
        <v>0</v>
      </c>
      <c r="H23" s="3">
        <v>-0.04</v>
      </c>
      <c r="I23" s="3">
        <v>29</v>
      </c>
      <c r="J23" s="3">
        <v>28.96</v>
      </c>
      <c r="K23" s="5"/>
      <c r="L23" s="3">
        <f t="shared" si="0"/>
        <v>1.6</v>
      </c>
      <c r="M23" s="17"/>
    </row>
    <row r="24" spans="2:13">
      <c r="B24" s="16">
        <v>17</v>
      </c>
      <c r="C24" s="3">
        <v>1.5</v>
      </c>
      <c r="D24" s="3" t="s">
        <v>106</v>
      </c>
      <c r="E24" s="65" t="s">
        <v>107</v>
      </c>
      <c r="F24" s="3">
        <v>0.04</v>
      </c>
      <c r="G24" s="3">
        <v>0.04</v>
      </c>
      <c r="H24" s="3">
        <v>9.9999999999999995E-7</v>
      </c>
      <c r="I24" s="3">
        <v>0.04</v>
      </c>
      <c r="J24" s="3">
        <v>1E-8</v>
      </c>
      <c r="K24" s="5"/>
      <c r="L24" s="3">
        <f>IF(K24&gt;=(J25-M24),(IF(K24&lt;=(I25+M24),C24,0)),0)</f>
        <v>0</v>
      </c>
      <c r="M24" s="17"/>
    </row>
    <row r="25" spans="2:13">
      <c r="B25" s="16">
        <v>18</v>
      </c>
      <c r="C25" s="3">
        <v>1.2</v>
      </c>
      <c r="D25" s="3" t="s">
        <v>108</v>
      </c>
      <c r="E25" s="65" t="s">
        <v>105</v>
      </c>
      <c r="F25" s="3">
        <v>17</v>
      </c>
      <c r="G25" s="3">
        <v>-0.03</v>
      </c>
      <c r="H25" s="3">
        <v>-0.05</v>
      </c>
      <c r="I25" s="3">
        <v>16.97</v>
      </c>
      <c r="J25" s="3">
        <v>16.95</v>
      </c>
      <c r="K25" s="5"/>
      <c r="L25" s="3">
        <f>IF(K25&gt;=(J26-M25-$M$7),(IF(K25&lt;=(I26+M25+$M$7),C25,0)),0)</f>
        <v>0</v>
      </c>
      <c r="M25" s="17"/>
    </row>
    <row r="26" spans="2:13">
      <c r="B26" s="16">
        <v>19</v>
      </c>
      <c r="C26" s="3">
        <v>1.2</v>
      </c>
      <c r="D26" s="3" t="s">
        <v>109</v>
      </c>
      <c r="E26" s="65" t="s">
        <v>105</v>
      </c>
      <c r="F26" s="3">
        <v>40</v>
      </c>
      <c r="G26" s="3">
        <v>9.5000000000000001E-2</v>
      </c>
      <c r="H26" s="3">
        <v>0.06</v>
      </c>
      <c r="I26" s="3">
        <v>40.094999999999999</v>
      </c>
      <c r="J26" s="3">
        <v>40.06</v>
      </c>
      <c r="K26" s="5"/>
      <c r="L26" s="3">
        <f>IF(K26&gt;=(J27-M26-$M$7),(IF(K26&lt;=(I27+M26+$M$7),C26,0)),0)</f>
        <v>0</v>
      </c>
      <c r="M26" s="17"/>
    </row>
    <row r="27" spans="2:13">
      <c r="B27" s="16">
        <v>20</v>
      </c>
      <c r="C27" s="3">
        <v>1.2</v>
      </c>
      <c r="D27" s="3" t="s">
        <v>110</v>
      </c>
      <c r="E27" s="65" t="s">
        <v>105</v>
      </c>
      <c r="F27" s="3">
        <v>10</v>
      </c>
      <c r="G27" s="3">
        <v>0.05</v>
      </c>
      <c r="H27" s="3">
        <v>0.03</v>
      </c>
      <c r="I27" s="3">
        <v>10.050000000000001</v>
      </c>
      <c r="J27" s="3">
        <v>10.029999999999999</v>
      </c>
      <c r="K27" s="5"/>
      <c r="L27" s="3">
        <f>IF(K27&gt;=(J28-M27-$M$7),(IF(K27&lt;=(I28+M27+$M$7),C27,0)),0)</f>
        <v>0</v>
      </c>
      <c r="M27" s="17"/>
    </row>
    <row r="28" spans="2:13">
      <c r="B28" s="16">
        <v>21</v>
      </c>
      <c r="C28" s="3">
        <v>1.5</v>
      </c>
      <c r="D28" s="3" t="s">
        <v>101</v>
      </c>
      <c r="E28" s="65" t="s">
        <v>105</v>
      </c>
      <c r="F28" s="3">
        <v>92</v>
      </c>
      <c r="G28" s="3">
        <v>0.04</v>
      </c>
      <c r="H28" s="3">
        <v>0.02</v>
      </c>
      <c r="I28" s="3">
        <v>92.04</v>
      </c>
      <c r="J28" s="3">
        <v>92.02</v>
      </c>
      <c r="K28" s="5"/>
      <c r="L28" s="3">
        <f>IF(K28&gt;=(J29-M28-$M$7),(IF(K28&lt;=(I29+M28+$M$7),C28,0)),0)</f>
        <v>1.5</v>
      </c>
      <c r="M28" s="17"/>
    </row>
    <row r="29" spans="2:13">
      <c r="B29" s="16">
        <v>22</v>
      </c>
      <c r="C29" s="3"/>
      <c r="D29" s="3"/>
      <c r="E29" s="3"/>
      <c r="F29" s="3"/>
      <c r="G29" s="3"/>
      <c r="H29" s="3"/>
      <c r="I29" s="3"/>
      <c r="J29" s="3"/>
      <c r="K29" s="5"/>
      <c r="L29" s="3">
        <f>IF(K29&gt;=(J29-M29-$M$7),(IF(K29&lt;=(I29+M29+$M$7),C29,0)),0)</f>
        <v>0</v>
      </c>
      <c r="M29" s="17"/>
    </row>
    <row r="30" spans="2:13">
      <c r="B30" s="16">
        <v>23</v>
      </c>
      <c r="C30" s="3"/>
      <c r="D30" s="3"/>
      <c r="E30" s="3"/>
      <c r="F30" s="3"/>
      <c r="G30" s="3"/>
      <c r="H30" s="3"/>
      <c r="I30" s="3"/>
      <c r="J30" s="3"/>
      <c r="K30" s="5"/>
      <c r="L30" s="3">
        <f>IF(K30&gt;=(J30-M30-$M$7),(IF(K30&lt;=(I30+M30+$M$7),C30,0)),0)</f>
        <v>0</v>
      </c>
      <c r="M30" s="17"/>
    </row>
    <row r="31" spans="2:13">
      <c r="B31" s="16">
        <v>24</v>
      </c>
      <c r="C31" s="3"/>
      <c r="D31" s="3"/>
      <c r="E31" s="3"/>
      <c r="F31" s="3"/>
      <c r="G31" s="3"/>
      <c r="H31" s="3"/>
      <c r="I31" s="3"/>
      <c r="J31" s="3"/>
      <c r="K31" s="5"/>
      <c r="L31" s="3">
        <f t="shared" ref="L31:L38" si="1">IF(K31&gt;=(J31-M31),(IF(K31&lt;=(I31+M31),C31,0)),0)</f>
        <v>0</v>
      </c>
      <c r="M31" s="17"/>
    </row>
    <row r="32" spans="2:13">
      <c r="B32" s="16">
        <v>25</v>
      </c>
      <c r="C32" s="3"/>
      <c r="D32" s="3"/>
      <c r="E32" s="3"/>
      <c r="F32" s="3"/>
      <c r="G32" s="3"/>
      <c r="H32" s="3"/>
      <c r="I32" s="3"/>
      <c r="J32" s="3"/>
      <c r="K32" s="5"/>
      <c r="L32" s="3">
        <f t="shared" si="1"/>
        <v>0</v>
      </c>
      <c r="M32" s="17"/>
    </row>
    <row r="33" spans="2:13">
      <c r="B33" s="16">
        <v>26</v>
      </c>
      <c r="C33" s="3"/>
      <c r="D33" s="3"/>
      <c r="E33" s="3"/>
      <c r="F33" s="3"/>
      <c r="G33" s="3"/>
      <c r="H33" s="3"/>
      <c r="I33" s="3"/>
      <c r="J33" s="3"/>
      <c r="K33" s="5"/>
      <c r="L33" s="3">
        <f t="shared" si="1"/>
        <v>0</v>
      </c>
      <c r="M33" s="17"/>
    </row>
    <row r="34" spans="2:13">
      <c r="B34" s="16">
        <v>27</v>
      </c>
      <c r="C34" s="3"/>
      <c r="D34" s="3"/>
      <c r="E34" s="3"/>
      <c r="F34" s="3"/>
      <c r="G34" s="3"/>
      <c r="H34" s="3"/>
      <c r="I34" s="3"/>
      <c r="J34" s="3"/>
      <c r="K34" s="5"/>
      <c r="L34" s="3">
        <f t="shared" si="1"/>
        <v>0</v>
      </c>
      <c r="M34" s="17"/>
    </row>
    <row r="35" spans="2:13">
      <c r="B35" s="16">
        <v>28</v>
      </c>
      <c r="C35" s="3"/>
      <c r="D35" s="3"/>
      <c r="E35" s="3"/>
      <c r="F35" s="3"/>
      <c r="G35" s="3"/>
      <c r="H35" s="3"/>
      <c r="I35" s="3"/>
      <c r="J35" s="3"/>
      <c r="K35" s="5"/>
      <c r="L35" s="3">
        <f t="shared" si="1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/>
      <c r="J36" s="3"/>
      <c r="K36" s="5"/>
      <c r="L36" s="3">
        <f t="shared" si="1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/>
      <c r="J37" s="3"/>
      <c r="K37" s="5"/>
      <c r="L37" s="3">
        <f t="shared" si="1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/>
      <c r="J38" s="3"/>
      <c r="K38" s="5"/>
      <c r="L38" s="3">
        <f t="shared" si="1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/>
      <c r="J39" s="3"/>
      <c r="K39" s="5"/>
      <c r="L39" s="3">
        <f>IF(K39&gt;=(J39-M39),(IF(K39&lt;=(I39+M39),C39,0)),0)</f>
        <v>0</v>
      </c>
      <c r="M39" s="17"/>
    </row>
    <row r="40" spans="2:13" ht="15" thickBot="1">
      <c r="B40" s="26">
        <v>33</v>
      </c>
      <c r="C40" s="8"/>
      <c r="D40" s="8"/>
      <c r="E40" s="8"/>
      <c r="F40" s="8"/>
      <c r="G40" s="8"/>
      <c r="H40" s="8"/>
      <c r="I40" s="8"/>
      <c r="J40" s="8"/>
      <c r="K40" s="9"/>
      <c r="L40" s="8">
        <f>IF(K40&gt;=(J40-M40),(IF(K40&lt;=(I40+M40),C40,0)),0)</f>
        <v>0</v>
      </c>
      <c r="M40" s="31"/>
    </row>
    <row r="41" spans="2:13" ht="15" thickBot="1">
      <c r="B41" s="35" t="s">
        <v>48</v>
      </c>
      <c r="C41" s="36">
        <f>SUM(C8:C40)</f>
        <v>26.999999999999996</v>
      </c>
      <c r="D41" s="36">
        <v>27</v>
      </c>
      <c r="E41" s="36"/>
      <c r="F41" s="36"/>
      <c r="G41" s="36"/>
      <c r="H41" s="36"/>
      <c r="I41" s="36"/>
      <c r="J41" s="36"/>
      <c r="K41" s="37"/>
      <c r="L41" s="37">
        <f>SUM(L8:L40)</f>
        <v>3.1</v>
      </c>
      <c r="M41" s="38"/>
    </row>
    <row r="42" spans="2:13" ht="1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29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1.2</v>
      </c>
      <c r="D44" s="3" t="s">
        <v>20</v>
      </c>
      <c r="E44" s="3" t="s">
        <v>12</v>
      </c>
      <c r="F44" s="3" t="s">
        <v>111</v>
      </c>
      <c r="G44" s="3"/>
      <c r="H44" s="3"/>
      <c r="I44" s="3" t="s">
        <v>43</v>
      </c>
      <c r="J44" s="3" t="s">
        <v>44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0.8</v>
      </c>
      <c r="D45" s="3" t="s">
        <v>18</v>
      </c>
      <c r="E45" s="3" t="s">
        <v>12</v>
      </c>
      <c r="F45" s="3" t="s">
        <v>17</v>
      </c>
      <c r="G45" s="3"/>
      <c r="H45" s="3"/>
      <c r="I45" s="3" t="s">
        <v>43</v>
      </c>
      <c r="J45" s="3" t="s">
        <v>44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0.5</v>
      </c>
      <c r="D46" s="3" t="s">
        <v>112</v>
      </c>
      <c r="E46" s="3" t="s">
        <v>22</v>
      </c>
      <c r="F46" s="3">
        <v>94</v>
      </c>
      <c r="G46" s="3">
        <v>0.1</v>
      </c>
      <c r="H46" s="3">
        <v>-0.1</v>
      </c>
      <c r="I46" s="3">
        <f t="shared" ref="I46:I62" si="2">SUM(F46+G46)</f>
        <v>94.1</v>
      </c>
      <c r="J46" s="3">
        <f t="shared" ref="J46:J62" si="3">SUM(F46+H46)</f>
        <v>93.9</v>
      </c>
      <c r="K46" s="5"/>
      <c r="L46" s="3">
        <f t="shared" ref="L46:L63" si="4">IF(K46&gt;=(J46-M46),(IF(K46&lt;=(I46+M46),C46,0)),0)</f>
        <v>0</v>
      </c>
      <c r="M46" s="17"/>
    </row>
    <row r="47" spans="2:13">
      <c r="B47" s="16">
        <v>4</v>
      </c>
      <c r="C47" s="3">
        <v>0.5</v>
      </c>
      <c r="D47" s="3" t="s">
        <v>113</v>
      </c>
      <c r="E47" s="3" t="s">
        <v>22</v>
      </c>
      <c r="F47" s="3">
        <v>24</v>
      </c>
      <c r="G47" s="3">
        <v>0.1</v>
      </c>
      <c r="H47" s="3">
        <v>-0.1</v>
      </c>
      <c r="I47" s="3">
        <f t="shared" si="2"/>
        <v>24.1</v>
      </c>
      <c r="J47" s="3">
        <f t="shared" si="3"/>
        <v>23.9</v>
      </c>
      <c r="K47" s="5"/>
      <c r="L47" s="3">
        <f t="shared" si="4"/>
        <v>0</v>
      </c>
      <c r="M47" s="17"/>
    </row>
    <row r="48" spans="2:13">
      <c r="B48" s="16">
        <v>5</v>
      </c>
      <c r="C48" s="3">
        <v>0.5</v>
      </c>
      <c r="D48" s="3" t="s">
        <v>114</v>
      </c>
      <c r="E48" s="3" t="s">
        <v>22</v>
      </c>
      <c r="F48" s="3">
        <v>16</v>
      </c>
      <c r="G48" s="3">
        <v>0.1</v>
      </c>
      <c r="H48" s="3">
        <v>-0.1</v>
      </c>
      <c r="I48" s="3">
        <f t="shared" si="2"/>
        <v>16.100000000000001</v>
      </c>
      <c r="J48" s="3">
        <f t="shared" si="3"/>
        <v>15.9</v>
      </c>
      <c r="K48" s="5"/>
      <c r="L48" s="3">
        <f t="shared" si="4"/>
        <v>0</v>
      </c>
      <c r="M48" s="17"/>
    </row>
    <row r="49" spans="2:13">
      <c r="B49" s="16">
        <v>6</v>
      </c>
      <c r="C49" s="3">
        <v>0.5</v>
      </c>
      <c r="D49" s="3" t="s">
        <v>115</v>
      </c>
      <c r="E49" s="3" t="s">
        <v>22</v>
      </c>
      <c r="F49" s="3">
        <v>43</v>
      </c>
      <c r="G49" s="3">
        <v>0.1</v>
      </c>
      <c r="H49" s="3">
        <v>-0.1</v>
      </c>
      <c r="I49" s="3">
        <f t="shared" si="2"/>
        <v>43.1</v>
      </c>
      <c r="J49" s="3">
        <f t="shared" si="3"/>
        <v>42.9</v>
      </c>
      <c r="K49" s="5"/>
      <c r="L49" s="3">
        <f t="shared" si="4"/>
        <v>0</v>
      </c>
      <c r="M49" s="17"/>
    </row>
    <row r="50" spans="2:13">
      <c r="B50" s="16">
        <v>7</v>
      </c>
      <c r="C50" s="3">
        <v>0.5</v>
      </c>
      <c r="D50" s="3" t="s">
        <v>114</v>
      </c>
      <c r="E50" s="3" t="s">
        <v>22</v>
      </c>
      <c r="F50" s="3">
        <v>40</v>
      </c>
      <c r="G50" s="3">
        <v>0.1</v>
      </c>
      <c r="H50" s="3">
        <v>-0.1</v>
      </c>
      <c r="I50" s="3">
        <f t="shared" si="2"/>
        <v>40.1</v>
      </c>
      <c r="J50" s="3">
        <f t="shared" si="3"/>
        <v>39.9</v>
      </c>
      <c r="K50" s="5"/>
      <c r="L50" s="3">
        <f t="shared" si="4"/>
        <v>0</v>
      </c>
      <c r="M50" s="17"/>
    </row>
    <row r="51" spans="2:13">
      <c r="B51" s="16">
        <v>8</v>
      </c>
      <c r="C51" s="3">
        <v>0.5</v>
      </c>
      <c r="D51" s="3" t="s">
        <v>116</v>
      </c>
      <c r="E51" s="3" t="s">
        <v>22</v>
      </c>
      <c r="F51" s="3">
        <v>59</v>
      </c>
      <c r="G51" s="3">
        <v>0.1</v>
      </c>
      <c r="H51" s="3">
        <v>-0.1</v>
      </c>
      <c r="I51" s="3">
        <f t="shared" si="2"/>
        <v>59.1</v>
      </c>
      <c r="J51" s="3">
        <f t="shared" si="3"/>
        <v>58.9</v>
      </c>
      <c r="K51" s="5"/>
      <c r="L51" s="3">
        <f t="shared" si="4"/>
        <v>0</v>
      </c>
      <c r="M51" s="17"/>
    </row>
    <row r="52" spans="2:13">
      <c r="B52" s="16">
        <v>9</v>
      </c>
      <c r="C52" s="3">
        <v>0.5</v>
      </c>
      <c r="D52" s="3" t="s">
        <v>116</v>
      </c>
      <c r="E52" s="3" t="s">
        <v>22</v>
      </c>
      <c r="F52" s="3">
        <v>20</v>
      </c>
      <c r="G52" s="3">
        <v>0.1</v>
      </c>
      <c r="H52" s="3">
        <v>-0.1</v>
      </c>
      <c r="I52" s="3">
        <f t="shared" si="2"/>
        <v>20.100000000000001</v>
      </c>
      <c r="J52" s="3">
        <f t="shared" si="3"/>
        <v>19.899999999999999</v>
      </c>
      <c r="K52" s="5"/>
      <c r="L52" s="3">
        <f t="shared" si="4"/>
        <v>0</v>
      </c>
      <c r="M52" s="17"/>
    </row>
    <row r="53" spans="2:13">
      <c r="B53" s="16">
        <v>10</v>
      </c>
      <c r="C53" s="3">
        <v>0.5</v>
      </c>
      <c r="D53" s="3" t="s">
        <v>113</v>
      </c>
      <c r="E53" s="3" t="s">
        <v>22</v>
      </c>
      <c r="F53" s="3">
        <v>24</v>
      </c>
      <c r="G53" s="3">
        <v>0.1</v>
      </c>
      <c r="H53" s="3">
        <v>-0.1</v>
      </c>
      <c r="I53" s="3">
        <f t="shared" si="2"/>
        <v>24.1</v>
      </c>
      <c r="J53" s="3">
        <f t="shared" si="3"/>
        <v>23.9</v>
      </c>
      <c r="K53" s="5"/>
      <c r="L53" s="3">
        <f t="shared" si="4"/>
        <v>0</v>
      </c>
      <c r="M53" s="17"/>
    </row>
    <row r="54" spans="2:13">
      <c r="B54" s="16">
        <v>11</v>
      </c>
      <c r="C54" s="3">
        <v>0.5</v>
      </c>
      <c r="D54" s="3" t="s">
        <v>117</v>
      </c>
      <c r="E54" s="3" t="s">
        <v>22</v>
      </c>
      <c r="F54" s="3">
        <v>3</v>
      </c>
      <c r="G54" s="3">
        <v>0.1</v>
      </c>
      <c r="H54" s="3">
        <v>-0.1</v>
      </c>
      <c r="I54" s="3">
        <f t="shared" si="2"/>
        <v>3.1</v>
      </c>
      <c r="J54" s="3">
        <f t="shared" si="3"/>
        <v>2.9</v>
      </c>
      <c r="K54" s="5"/>
      <c r="L54" s="3">
        <f t="shared" si="4"/>
        <v>0</v>
      </c>
      <c r="M54" s="17"/>
    </row>
    <row r="55" spans="2:13">
      <c r="B55" s="16">
        <v>12</v>
      </c>
      <c r="C55" s="3">
        <v>0.5</v>
      </c>
      <c r="D55" s="3" t="s">
        <v>118</v>
      </c>
      <c r="E55" s="3" t="s">
        <v>22</v>
      </c>
      <c r="F55" s="3">
        <v>3</v>
      </c>
      <c r="G55" s="3">
        <v>0.1</v>
      </c>
      <c r="H55" s="3">
        <v>-0.1</v>
      </c>
      <c r="I55" s="3">
        <f t="shared" si="2"/>
        <v>3.1</v>
      </c>
      <c r="J55" s="3">
        <f t="shared" si="3"/>
        <v>2.9</v>
      </c>
      <c r="K55" s="5"/>
      <c r="L55" s="3">
        <f t="shared" si="4"/>
        <v>0</v>
      </c>
      <c r="M55" s="17"/>
    </row>
    <row r="56" spans="2:13">
      <c r="B56" s="16">
        <v>13</v>
      </c>
      <c r="C56" s="3">
        <v>0.5</v>
      </c>
      <c r="D56" s="3" t="s">
        <v>119</v>
      </c>
      <c r="E56" s="3" t="s">
        <v>22</v>
      </c>
      <c r="F56" s="3">
        <v>7</v>
      </c>
      <c r="G56" s="3">
        <v>0.1</v>
      </c>
      <c r="H56" s="3">
        <v>-0.1</v>
      </c>
      <c r="I56" s="3">
        <f t="shared" si="2"/>
        <v>7.1</v>
      </c>
      <c r="J56" s="3">
        <f t="shared" si="3"/>
        <v>6.9</v>
      </c>
      <c r="K56" s="5"/>
      <c r="L56" s="3">
        <f t="shared" si="4"/>
        <v>0</v>
      </c>
      <c r="M56" s="17"/>
    </row>
    <row r="57" spans="2:13">
      <c r="B57" s="16">
        <v>14</v>
      </c>
      <c r="C57" s="3">
        <v>0.5</v>
      </c>
      <c r="D57" s="3" t="s">
        <v>120</v>
      </c>
      <c r="E57" s="3" t="s">
        <v>22</v>
      </c>
      <c r="F57" s="3">
        <v>5</v>
      </c>
      <c r="G57" s="3">
        <v>0.1</v>
      </c>
      <c r="H57" s="3">
        <v>-0.1</v>
      </c>
      <c r="I57" s="3">
        <f t="shared" si="2"/>
        <v>5.0999999999999996</v>
      </c>
      <c r="J57" s="3">
        <f t="shared" si="3"/>
        <v>4.9000000000000004</v>
      </c>
      <c r="K57" s="5"/>
      <c r="L57" s="3">
        <f t="shared" si="4"/>
        <v>0</v>
      </c>
      <c r="M57" s="17"/>
    </row>
    <row r="58" spans="2:13">
      <c r="B58" s="16">
        <v>15</v>
      </c>
      <c r="C58" s="3">
        <v>0.5</v>
      </c>
      <c r="D58" s="3" t="s">
        <v>121</v>
      </c>
      <c r="E58" s="3" t="s">
        <v>22</v>
      </c>
      <c r="F58" s="3">
        <v>15</v>
      </c>
      <c r="G58" s="3">
        <v>0.1</v>
      </c>
      <c r="H58" s="3">
        <v>-0.1</v>
      </c>
      <c r="I58" s="3">
        <f t="shared" si="2"/>
        <v>15.1</v>
      </c>
      <c r="J58" s="3">
        <f t="shared" si="3"/>
        <v>14.9</v>
      </c>
      <c r="K58" s="5"/>
      <c r="L58" s="3">
        <f t="shared" si="4"/>
        <v>0</v>
      </c>
      <c r="M58" s="17"/>
    </row>
    <row r="59" spans="2:13">
      <c r="B59" s="16">
        <v>16</v>
      </c>
      <c r="C59" s="3">
        <v>0.5</v>
      </c>
      <c r="D59" s="3" t="s">
        <v>121</v>
      </c>
      <c r="E59" s="3" t="s">
        <v>22</v>
      </c>
      <c r="F59" s="3">
        <v>10</v>
      </c>
      <c r="G59" s="3">
        <v>0.1</v>
      </c>
      <c r="H59" s="3">
        <v>-0.1</v>
      </c>
      <c r="I59" s="3">
        <f t="shared" si="2"/>
        <v>10.1</v>
      </c>
      <c r="J59" s="3">
        <f t="shared" si="3"/>
        <v>9.9</v>
      </c>
      <c r="K59" s="5"/>
      <c r="L59" s="3">
        <f t="shared" si="4"/>
        <v>0</v>
      </c>
      <c r="M59" s="17"/>
    </row>
    <row r="60" spans="2:13">
      <c r="B60" s="16">
        <v>17</v>
      </c>
      <c r="C60" s="3">
        <v>0.5</v>
      </c>
      <c r="D60" s="3" t="s">
        <v>122</v>
      </c>
      <c r="E60" s="3" t="s">
        <v>22</v>
      </c>
      <c r="F60" s="3">
        <v>70</v>
      </c>
      <c r="G60" s="3">
        <v>0.1</v>
      </c>
      <c r="H60" s="3">
        <v>-0.1</v>
      </c>
      <c r="I60" s="3">
        <f t="shared" si="2"/>
        <v>70.099999999999994</v>
      </c>
      <c r="J60" s="3">
        <f t="shared" si="3"/>
        <v>69.900000000000006</v>
      </c>
      <c r="K60" s="5"/>
      <c r="L60" s="3">
        <f t="shared" si="4"/>
        <v>0</v>
      </c>
      <c r="M60" s="17"/>
    </row>
    <row r="61" spans="2:13">
      <c r="B61" s="16">
        <v>18</v>
      </c>
      <c r="C61" s="3">
        <v>0.5</v>
      </c>
      <c r="D61" s="3" t="s">
        <v>123</v>
      </c>
      <c r="E61" s="3" t="s">
        <v>22</v>
      </c>
      <c r="F61" s="3">
        <v>78</v>
      </c>
      <c r="G61" s="3">
        <v>0.1</v>
      </c>
      <c r="H61" s="3">
        <v>-0.1</v>
      </c>
      <c r="I61" s="3">
        <f t="shared" si="2"/>
        <v>78.099999999999994</v>
      </c>
      <c r="J61" s="3">
        <f t="shared" si="3"/>
        <v>77.900000000000006</v>
      </c>
      <c r="K61" s="5"/>
      <c r="L61" s="3">
        <f t="shared" si="4"/>
        <v>0</v>
      </c>
      <c r="M61" s="17"/>
    </row>
    <row r="62" spans="2:13">
      <c r="B62" s="16">
        <v>19</v>
      </c>
      <c r="C62" s="3">
        <v>0.5</v>
      </c>
      <c r="D62" s="3" t="s">
        <v>124</v>
      </c>
      <c r="E62" s="3" t="s">
        <v>22</v>
      </c>
      <c r="F62" s="3">
        <v>49</v>
      </c>
      <c r="G62" s="3">
        <v>0.1</v>
      </c>
      <c r="H62" s="3">
        <v>-0.1</v>
      </c>
      <c r="I62" s="3">
        <f t="shared" si="2"/>
        <v>49.1</v>
      </c>
      <c r="J62" s="3">
        <f t="shared" si="3"/>
        <v>48.9</v>
      </c>
      <c r="K62" s="5"/>
      <c r="L62" s="3">
        <f t="shared" si="4"/>
        <v>0</v>
      </c>
      <c r="M62" s="17"/>
    </row>
    <row r="63" spans="2:13">
      <c r="B63" s="16">
        <v>20</v>
      </c>
      <c r="C63" s="3"/>
      <c r="D63" s="3"/>
      <c r="E63" s="3"/>
      <c r="F63" s="3"/>
      <c r="G63" s="3"/>
      <c r="H63" s="3"/>
      <c r="I63" s="3"/>
      <c r="J63" s="3"/>
      <c r="K63" s="5"/>
      <c r="L63" s="3">
        <f t="shared" si="4"/>
        <v>0</v>
      </c>
      <c r="M63" s="17"/>
    </row>
    <row r="64" spans="2:13">
      <c r="B64" s="16">
        <v>21</v>
      </c>
      <c r="C64" s="3"/>
      <c r="D64" s="3"/>
      <c r="E64" s="3"/>
      <c r="F64" s="3"/>
      <c r="G64" s="3"/>
      <c r="H64" s="3"/>
      <c r="I64" s="3">
        <f>SUM(F64+G64)</f>
        <v>0</v>
      </c>
      <c r="J64" s="3">
        <f>SUM(F64+H64)</f>
        <v>0</v>
      </c>
      <c r="K64" s="5"/>
      <c r="L64" s="3">
        <f>IF(K64&gt;=(J64-M64),(IF(K64&lt;=(I64+M64),C64,0)),0)</f>
        <v>0</v>
      </c>
      <c r="M64" s="17"/>
    </row>
    <row r="65" spans="2:13">
      <c r="B65" s="16">
        <v>22</v>
      </c>
      <c r="C65" s="3"/>
      <c r="D65" s="3"/>
      <c r="E65" s="3"/>
      <c r="F65" s="3"/>
      <c r="G65" s="3"/>
      <c r="H65" s="3"/>
      <c r="I65" s="3">
        <f>SUM(F65+G65)</f>
        <v>0</v>
      </c>
      <c r="J65" s="3">
        <f>SUM(F65+H65)</f>
        <v>0</v>
      </c>
      <c r="K65" s="5"/>
      <c r="L65" s="3">
        <f>IF(K65&gt;=(J65-M65),(IF(K65&lt;=(I65+M65),C65,0)),0)</f>
        <v>0</v>
      </c>
      <c r="M65" s="17"/>
    </row>
    <row r="66" spans="2:13" ht="15" thickBot="1">
      <c r="B66" s="26">
        <v>23</v>
      </c>
      <c r="C66" s="8"/>
      <c r="D66" s="8"/>
      <c r="E66" s="8"/>
      <c r="F66" s="8"/>
      <c r="G66" s="8"/>
      <c r="H66" s="8"/>
      <c r="I66" s="8">
        <f>SUM(F66+G66)</f>
        <v>0</v>
      </c>
      <c r="J66" s="8">
        <f>SUM(F66+H66)</f>
        <v>0</v>
      </c>
      <c r="K66" s="9"/>
      <c r="L66" s="8">
        <f>IF(K66&gt;=(J66-M66),(IF(K66&lt;=(I66+M66),C66,0)),0)</f>
        <v>0</v>
      </c>
      <c r="M66" s="31"/>
    </row>
    <row r="67" spans="2:13" ht="15" thickBot="1">
      <c r="B67" s="35" t="s">
        <v>48</v>
      </c>
      <c r="C67" s="36">
        <f>SUM(C44:C66)</f>
        <v>10.5</v>
      </c>
      <c r="D67" s="36">
        <v>10.5</v>
      </c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23" t="s">
        <v>30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0.65</v>
      </c>
      <c r="D70" s="3" t="s">
        <v>125</v>
      </c>
      <c r="E70" s="3" t="s">
        <v>13</v>
      </c>
      <c r="F70" s="3" t="s">
        <v>21</v>
      </c>
      <c r="G70" s="3">
        <v>0.8</v>
      </c>
      <c r="H70" s="6">
        <v>1E-8</v>
      </c>
      <c r="I70" s="3">
        <f t="shared" ref="I70:I76" si="5">SUM(G70)</f>
        <v>0.8</v>
      </c>
      <c r="J70" s="6">
        <f t="shared" ref="J70:J76" si="6">SUM(H70)</f>
        <v>1E-8</v>
      </c>
      <c r="K70" s="5"/>
      <c r="L70" s="3">
        <f t="shared" ref="L70:L77" si="7">IF(K70&gt;=(J70-M70),(IF(K70&lt;=(I70+M70),C70,0)),0)</f>
        <v>0</v>
      </c>
      <c r="M70" s="17"/>
    </row>
    <row r="71" spans="2:13">
      <c r="B71" s="16">
        <v>2</v>
      </c>
      <c r="C71" s="3">
        <v>0.65</v>
      </c>
      <c r="D71" s="3" t="s">
        <v>19</v>
      </c>
      <c r="E71" s="3" t="s">
        <v>13</v>
      </c>
      <c r="F71" s="3" t="s">
        <v>21</v>
      </c>
      <c r="G71" s="3">
        <v>0.8</v>
      </c>
      <c r="H71" s="6">
        <v>1E-8</v>
      </c>
      <c r="I71" s="3">
        <f t="shared" si="5"/>
        <v>0.8</v>
      </c>
      <c r="J71" s="6">
        <f t="shared" si="6"/>
        <v>1E-8</v>
      </c>
      <c r="K71" s="5"/>
      <c r="L71" s="3">
        <f t="shared" si="7"/>
        <v>0</v>
      </c>
      <c r="M71" s="17"/>
    </row>
    <row r="72" spans="2:13">
      <c r="B72" s="16">
        <v>3</v>
      </c>
      <c r="C72" s="3">
        <v>0.65</v>
      </c>
      <c r="D72" s="3" t="s">
        <v>126</v>
      </c>
      <c r="E72" s="3" t="s">
        <v>13</v>
      </c>
      <c r="F72" s="3" t="s">
        <v>21</v>
      </c>
      <c r="G72" s="3">
        <v>0.8</v>
      </c>
      <c r="H72" s="6">
        <v>1E-8</v>
      </c>
      <c r="I72" s="3">
        <f t="shared" si="5"/>
        <v>0.8</v>
      </c>
      <c r="J72" s="6">
        <f t="shared" si="6"/>
        <v>1E-8</v>
      </c>
      <c r="K72" s="5"/>
      <c r="L72" s="3">
        <f t="shared" si="7"/>
        <v>0</v>
      </c>
      <c r="M72" s="17"/>
    </row>
    <row r="73" spans="2:13">
      <c r="B73" s="16">
        <v>4</v>
      </c>
      <c r="C73" s="3">
        <v>0.65</v>
      </c>
      <c r="D73" s="3" t="s">
        <v>16</v>
      </c>
      <c r="E73" s="3" t="s">
        <v>13</v>
      </c>
      <c r="F73" s="3" t="s">
        <v>21</v>
      </c>
      <c r="G73" s="3">
        <v>0.8</v>
      </c>
      <c r="H73" s="6">
        <v>1E-8</v>
      </c>
      <c r="I73" s="3">
        <f t="shared" si="5"/>
        <v>0.8</v>
      </c>
      <c r="J73" s="6">
        <f t="shared" si="6"/>
        <v>1E-8</v>
      </c>
      <c r="K73" s="5"/>
      <c r="L73" s="3">
        <f t="shared" si="7"/>
        <v>0</v>
      </c>
      <c r="M73" s="17"/>
    </row>
    <row r="74" spans="2:13">
      <c r="B74" s="16">
        <v>5</v>
      </c>
      <c r="C74" s="3">
        <v>0.6</v>
      </c>
      <c r="D74" s="3" t="s">
        <v>117</v>
      </c>
      <c r="E74" s="3" t="s">
        <v>13</v>
      </c>
      <c r="F74" s="3" t="s">
        <v>21</v>
      </c>
      <c r="G74" s="3">
        <v>0.8</v>
      </c>
      <c r="H74" s="6">
        <v>1E-8</v>
      </c>
      <c r="I74" s="3">
        <f t="shared" si="5"/>
        <v>0.8</v>
      </c>
      <c r="J74" s="6">
        <f t="shared" si="6"/>
        <v>1E-8</v>
      </c>
      <c r="K74" s="5"/>
      <c r="L74" s="3">
        <f t="shared" si="7"/>
        <v>0</v>
      </c>
      <c r="M74" s="17"/>
    </row>
    <row r="75" spans="2:13">
      <c r="B75" s="16">
        <v>6</v>
      </c>
      <c r="C75" s="3">
        <v>0.65</v>
      </c>
      <c r="D75" s="3" t="s">
        <v>127</v>
      </c>
      <c r="E75" s="3" t="s">
        <v>13</v>
      </c>
      <c r="F75" s="3" t="s">
        <v>21</v>
      </c>
      <c r="G75" s="3">
        <v>0.8</v>
      </c>
      <c r="H75" s="6">
        <v>1E-8</v>
      </c>
      <c r="I75" s="3">
        <f t="shared" si="5"/>
        <v>0.8</v>
      </c>
      <c r="J75" s="6">
        <f t="shared" si="6"/>
        <v>1E-8</v>
      </c>
      <c r="K75" s="5"/>
      <c r="L75" s="3">
        <f t="shared" si="7"/>
        <v>0</v>
      </c>
      <c r="M75" s="17"/>
    </row>
    <row r="76" spans="2:13">
      <c r="B76" s="16">
        <v>7</v>
      </c>
      <c r="C76" s="3">
        <v>0.65</v>
      </c>
      <c r="D76" s="3" t="s">
        <v>127</v>
      </c>
      <c r="E76" s="3" t="s">
        <v>13</v>
      </c>
      <c r="F76" s="3" t="s">
        <v>21</v>
      </c>
      <c r="G76" s="3">
        <v>0.8</v>
      </c>
      <c r="H76" s="6">
        <v>1E-8</v>
      </c>
      <c r="I76" s="3">
        <f t="shared" si="5"/>
        <v>0.8</v>
      </c>
      <c r="J76" s="6">
        <f t="shared" si="6"/>
        <v>1E-8</v>
      </c>
      <c r="K76" s="5"/>
      <c r="L76" s="3">
        <f t="shared" si="7"/>
        <v>0</v>
      </c>
      <c r="M76" s="17"/>
    </row>
    <row r="77" spans="2:13" ht="15" thickBot="1">
      <c r="B77" s="26">
        <v>8</v>
      </c>
      <c r="C77" s="8"/>
      <c r="D77" s="8"/>
      <c r="E77" s="8"/>
      <c r="F77" s="8"/>
      <c r="G77" s="8"/>
      <c r="H77" s="8"/>
      <c r="I77" s="8"/>
      <c r="J77" s="8"/>
      <c r="K77" s="9"/>
      <c r="L77" s="8">
        <f t="shared" si="7"/>
        <v>0</v>
      </c>
      <c r="M77" s="31"/>
    </row>
    <row r="78" spans="2:13" ht="15" thickBot="1">
      <c r="B78" s="35" t="s">
        <v>49</v>
      </c>
      <c r="C78" s="36">
        <v>4.5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31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1.5</v>
      </c>
      <c r="D82" s="112" t="s">
        <v>23</v>
      </c>
      <c r="E82" s="124"/>
      <c r="F82" s="125"/>
      <c r="G82" s="5"/>
      <c r="H82" s="5"/>
      <c r="I82" s="5"/>
      <c r="J82" s="5"/>
      <c r="K82" s="5"/>
      <c r="L82" s="3">
        <f t="shared" ref="L82:L87" si="8">SUM(C82*(W82-V82-U82)/30)</f>
        <v>0</v>
      </c>
      <c r="M82" s="17"/>
      <c r="O82">
        <f t="shared" ref="O82:S87" si="9">SUM(10-G82)</f>
        <v>10</v>
      </c>
      <c r="P82">
        <f t="shared" si="9"/>
        <v>10</v>
      </c>
      <c r="Q82">
        <f t="shared" si="9"/>
        <v>10</v>
      </c>
      <c r="R82">
        <f t="shared" si="9"/>
        <v>10</v>
      </c>
      <c r="S82">
        <f t="shared" si="9"/>
        <v>10</v>
      </c>
      <c r="T82">
        <f t="shared" ref="T82:T87" si="10">MAX(O82:S82)</f>
        <v>10</v>
      </c>
      <c r="U82">
        <f t="shared" ref="U82:U87" si="11">SUM(10-T82)</f>
        <v>0</v>
      </c>
      <c r="V82">
        <f t="shared" ref="V82:V87" si="12">MAX(G82:K82)</f>
        <v>0</v>
      </c>
      <c r="W82">
        <f t="shared" ref="W82:W87" si="13">SUM(G82:K82)</f>
        <v>0</v>
      </c>
    </row>
    <row r="83" spans="2:23">
      <c r="B83" s="16">
        <v>2</v>
      </c>
      <c r="C83" s="3">
        <v>0.5</v>
      </c>
      <c r="D83" s="112" t="s">
        <v>24</v>
      </c>
      <c r="E83" s="124"/>
      <c r="F83" s="125"/>
      <c r="G83" s="5"/>
      <c r="H83" s="5"/>
      <c r="I83" s="5"/>
      <c r="J83" s="5"/>
      <c r="K83" s="5"/>
      <c r="L83" s="3">
        <f t="shared" si="8"/>
        <v>0</v>
      </c>
      <c r="M83" s="17"/>
      <c r="O83">
        <f t="shared" si="9"/>
        <v>10</v>
      </c>
      <c r="P83">
        <f t="shared" si="9"/>
        <v>10</v>
      </c>
      <c r="Q83">
        <f t="shared" si="9"/>
        <v>10</v>
      </c>
      <c r="R83">
        <f t="shared" si="9"/>
        <v>10</v>
      </c>
      <c r="S83">
        <f t="shared" si="9"/>
        <v>10</v>
      </c>
      <c r="T83">
        <f t="shared" si="10"/>
        <v>10</v>
      </c>
      <c r="U83">
        <f t="shared" si="11"/>
        <v>0</v>
      </c>
      <c r="V83">
        <f t="shared" si="12"/>
        <v>0</v>
      </c>
      <c r="W83">
        <f t="shared" si="13"/>
        <v>0</v>
      </c>
    </row>
    <row r="84" spans="2:23">
      <c r="B84" s="16">
        <v>3</v>
      </c>
      <c r="C84" s="3">
        <v>1.5</v>
      </c>
      <c r="D84" s="112" t="s">
        <v>25</v>
      </c>
      <c r="E84" s="124"/>
      <c r="F84" s="125"/>
      <c r="G84" s="5"/>
      <c r="H84" s="5"/>
      <c r="I84" s="5"/>
      <c r="J84" s="5"/>
      <c r="K84" s="5"/>
      <c r="L84" s="3">
        <f t="shared" si="8"/>
        <v>0</v>
      </c>
      <c r="M84" s="17"/>
      <c r="O84">
        <f t="shared" si="9"/>
        <v>10</v>
      </c>
      <c r="P84">
        <f t="shared" si="9"/>
        <v>10</v>
      </c>
      <c r="Q84">
        <f t="shared" si="9"/>
        <v>10</v>
      </c>
      <c r="R84">
        <f t="shared" si="9"/>
        <v>10</v>
      </c>
      <c r="S84">
        <f t="shared" si="9"/>
        <v>10</v>
      </c>
      <c r="T84">
        <f t="shared" si="10"/>
        <v>10</v>
      </c>
      <c r="U84">
        <f t="shared" si="11"/>
        <v>0</v>
      </c>
      <c r="V84">
        <f t="shared" si="12"/>
        <v>0</v>
      </c>
      <c r="W84">
        <f t="shared" si="13"/>
        <v>0</v>
      </c>
    </row>
    <row r="85" spans="2:23">
      <c r="B85" s="16">
        <v>4</v>
      </c>
      <c r="C85" s="3">
        <v>0.75</v>
      </c>
      <c r="D85" s="112" t="s">
        <v>26</v>
      </c>
      <c r="E85" s="124"/>
      <c r="F85" s="125"/>
      <c r="G85" s="5"/>
      <c r="H85" s="5"/>
      <c r="I85" s="5"/>
      <c r="J85" s="5"/>
      <c r="K85" s="5"/>
      <c r="L85" s="3">
        <f t="shared" si="8"/>
        <v>0</v>
      </c>
      <c r="M85" s="17"/>
      <c r="O85">
        <f t="shared" si="9"/>
        <v>10</v>
      </c>
      <c r="P85">
        <f t="shared" si="9"/>
        <v>10</v>
      </c>
      <c r="Q85">
        <f t="shared" si="9"/>
        <v>10</v>
      </c>
      <c r="R85">
        <f t="shared" si="9"/>
        <v>10</v>
      </c>
      <c r="S85">
        <f t="shared" si="9"/>
        <v>10</v>
      </c>
      <c r="T85">
        <f t="shared" si="10"/>
        <v>10</v>
      </c>
      <c r="U85">
        <f t="shared" si="11"/>
        <v>0</v>
      </c>
      <c r="V85">
        <f t="shared" si="12"/>
        <v>0</v>
      </c>
      <c r="W85">
        <f t="shared" si="13"/>
        <v>0</v>
      </c>
    </row>
    <row r="86" spans="2:23">
      <c r="B86" s="22">
        <v>5</v>
      </c>
      <c r="C86" s="3">
        <v>0.75</v>
      </c>
      <c r="D86" s="112" t="s">
        <v>27</v>
      </c>
      <c r="E86" s="113"/>
      <c r="F86" s="114"/>
      <c r="G86" s="5"/>
      <c r="H86" s="5"/>
      <c r="I86" s="5"/>
      <c r="J86" s="5"/>
      <c r="K86" s="5"/>
      <c r="L86" s="3">
        <f t="shared" si="8"/>
        <v>0</v>
      </c>
      <c r="M86" s="17"/>
      <c r="O86">
        <f t="shared" si="9"/>
        <v>10</v>
      </c>
      <c r="P86">
        <f t="shared" si="9"/>
        <v>10</v>
      </c>
      <c r="Q86">
        <f t="shared" si="9"/>
        <v>10</v>
      </c>
      <c r="R86">
        <f t="shared" si="9"/>
        <v>10</v>
      </c>
      <c r="S86">
        <f t="shared" si="9"/>
        <v>10</v>
      </c>
      <c r="T86">
        <f t="shared" si="10"/>
        <v>10</v>
      </c>
      <c r="U86">
        <f t="shared" si="11"/>
        <v>0</v>
      </c>
      <c r="V86">
        <f t="shared" si="12"/>
        <v>0</v>
      </c>
      <c r="W86">
        <f t="shared" si="13"/>
        <v>0</v>
      </c>
    </row>
    <row r="87" spans="2:23">
      <c r="B87" s="22">
        <v>6</v>
      </c>
      <c r="C87" s="3"/>
      <c r="D87" s="123"/>
      <c r="E87" s="124"/>
      <c r="F87" s="125"/>
      <c r="G87" s="9"/>
      <c r="H87" s="9"/>
      <c r="I87" s="9"/>
      <c r="J87" s="9"/>
      <c r="K87" s="9"/>
      <c r="L87" s="3">
        <f t="shared" si="8"/>
        <v>0</v>
      </c>
      <c r="M87" s="17"/>
      <c r="O87">
        <f t="shared" si="9"/>
        <v>10</v>
      </c>
      <c r="P87">
        <f t="shared" si="9"/>
        <v>10</v>
      </c>
      <c r="Q87">
        <f t="shared" si="9"/>
        <v>10</v>
      </c>
      <c r="R87">
        <f t="shared" si="9"/>
        <v>10</v>
      </c>
      <c r="S87">
        <f t="shared" si="9"/>
        <v>10</v>
      </c>
      <c r="T87">
        <f t="shared" si="10"/>
        <v>10</v>
      </c>
      <c r="U87">
        <f t="shared" si="11"/>
        <v>0</v>
      </c>
      <c r="V87">
        <f t="shared" si="12"/>
        <v>0</v>
      </c>
      <c r="W87">
        <f t="shared" si="13"/>
        <v>0</v>
      </c>
    </row>
    <row r="88" spans="2:23">
      <c r="B88" s="22"/>
      <c r="C88" s="3"/>
      <c r="D88" s="139"/>
      <c r="E88" s="71"/>
      <c r="F88" s="71"/>
      <c r="G88" s="131" t="s">
        <v>50</v>
      </c>
      <c r="H88" s="131" t="s">
        <v>50</v>
      </c>
      <c r="I88" s="131" t="s">
        <v>50</v>
      </c>
      <c r="J88" s="131" t="s">
        <v>50</v>
      </c>
      <c r="K88" s="131" t="s">
        <v>51</v>
      </c>
      <c r="L88" s="3"/>
      <c r="M88" s="17"/>
    </row>
    <row r="89" spans="2:23">
      <c r="B89" s="22"/>
      <c r="C89" s="3"/>
      <c r="D89" s="71"/>
      <c r="E89" s="71"/>
      <c r="F89" s="71"/>
      <c r="G89" s="132"/>
      <c r="H89" s="132"/>
      <c r="I89" s="132"/>
      <c r="J89" s="132"/>
      <c r="K89" s="132"/>
      <c r="L89" s="3"/>
      <c r="M89" s="18"/>
    </row>
    <row r="90" spans="2:23">
      <c r="B90" s="22"/>
      <c r="C90" s="3"/>
      <c r="D90" s="71"/>
      <c r="E90" s="71"/>
      <c r="F90" s="71"/>
      <c r="G90" s="132"/>
      <c r="H90" s="132"/>
      <c r="I90" s="132"/>
      <c r="J90" s="132"/>
      <c r="K90" s="132"/>
      <c r="L90" s="3"/>
      <c r="M90" s="18"/>
    </row>
    <row r="91" spans="2:23">
      <c r="B91" s="22"/>
      <c r="C91" s="3"/>
      <c r="D91" s="71"/>
      <c r="E91" s="71"/>
      <c r="F91" s="71"/>
      <c r="G91" s="132"/>
      <c r="H91" s="132"/>
      <c r="I91" s="132"/>
      <c r="J91" s="132"/>
      <c r="K91" s="132"/>
      <c r="L91" s="3"/>
      <c r="M91" s="18"/>
    </row>
    <row r="92" spans="2:23">
      <c r="B92" s="22"/>
      <c r="C92" s="3"/>
      <c r="D92" s="71"/>
      <c r="E92" s="71"/>
      <c r="F92" s="71"/>
      <c r="G92" s="132"/>
      <c r="H92" s="132"/>
      <c r="I92" s="132"/>
      <c r="J92" s="132"/>
      <c r="K92" s="132"/>
      <c r="L92" s="3"/>
      <c r="M92" s="18"/>
    </row>
    <row r="93" spans="2:23" ht="15" thickBot="1">
      <c r="B93" s="28"/>
      <c r="C93" s="8"/>
      <c r="D93" s="140"/>
      <c r="E93" s="140"/>
      <c r="F93" s="140"/>
      <c r="G93" s="133"/>
      <c r="H93" s="133"/>
      <c r="I93" s="133"/>
      <c r="J93" s="133"/>
      <c r="K93" s="133"/>
      <c r="L93" s="8"/>
      <c r="M93" s="40"/>
    </row>
    <row r="94" spans="2:23" ht="15" thickBot="1">
      <c r="B94" s="41" t="s">
        <v>48</v>
      </c>
      <c r="C94" s="39">
        <v>5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32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5" thickBot="1">
      <c r="B97" s="26">
        <v>1</v>
      </c>
      <c r="C97" s="8">
        <v>3</v>
      </c>
      <c r="D97" s="145" t="s">
        <v>33</v>
      </c>
      <c r="E97" s="146"/>
      <c r="F97" s="147"/>
      <c r="G97" s="8"/>
      <c r="H97" s="8"/>
      <c r="I97" s="8"/>
      <c r="J97" s="8"/>
      <c r="K97" s="9"/>
      <c r="L97" s="8">
        <f>IF(K97=0,C97,(K97-1)*(-C97))</f>
        <v>3</v>
      </c>
      <c r="M97" s="31"/>
    </row>
    <row r="98" spans="2:13" s="13" customFormat="1" ht="15" thickBot="1">
      <c r="B98" s="43" t="s">
        <v>48</v>
      </c>
      <c r="C98" s="39">
        <v>3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3</v>
      </c>
      <c r="M98" s="42"/>
    </row>
    <row r="99" spans="2:13" s="13" customFormat="1" ht="15" thickBot="1">
      <c r="B99" s="11"/>
      <c r="C99" s="11"/>
      <c r="G99" s="14"/>
      <c r="H99" s="14"/>
      <c r="I99" s="14"/>
      <c r="J99" s="14"/>
      <c r="K99" s="14"/>
      <c r="L99" s="11"/>
    </row>
    <row r="100" spans="2:13" ht="15" thickBot="1">
      <c r="B100" s="43"/>
      <c r="C100" s="39"/>
      <c r="D100" s="128"/>
      <c r="E100" s="138"/>
      <c r="F100" s="138"/>
      <c r="G100" s="138"/>
      <c r="H100" s="138"/>
      <c r="I100" s="129"/>
      <c r="J100" s="128" t="s">
        <v>34</v>
      </c>
      <c r="K100" s="129"/>
      <c r="L100" s="128" t="s">
        <v>35</v>
      </c>
      <c r="M100" s="130"/>
    </row>
    <row r="101" spans="2:13">
      <c r="B101" s="27"/>
      <c r="C101" s="12"/>
      <c r="D101" s="115" t="s">
        <v>36</v>
      </c>
      <c r="E101" s="116"/>
      <c r="F101" s="116"/>
      <c r="G101" s="116"/>
      <c r="H101" s="116"/>
      <c r="I101" s="117"/>
      <c r="J101" s="121"/>
      <c r="K101" s="136"/>
      <c r="L101" s="121"/>
      <c r="M101" s="122"/>
    </row>
    <row r="102" spans="2:13">
      <c r="B102" s="16"/>
      <c r="C102" s="3"/>
      <c r="D102" s="118" t="s">
        <v>37</v>
      </c>
      <c r="E102" s="119"/>
      <c r="F102" s="119"/>
      <c r="G102" s="119"/>
      <c r="H102" s="119"/>
      <c r="I102" s="120"/>
      <c r="J102" s="134"/>
      <c r="K102" s="137"/>
      <c r="L102" s="134"/>
      <c r="M102" s="135"/>
    </row>
    <row r="103" spans="2:13">
      <c r="B103" s="16"/>
      <c r="C103" s="3"/>
      <c r="D103" s="118" t="s">
        <v>38</v>
      </c>
      <c r="E103" s="119"/>
      <c r="F103" s="119"/>
      <c r="G103" s="119"/>
      <c r="H103" s="119"/>
      <c r="I103" s="120"/>
      <c r="J103" s="134"/>
      <c r="K103" s="137"/>
      <c r="L103" s="134"/>
      <c r="M103" s="135"/>
    </row>
    <row r="104" spans="2:13" ht="15" thickBot="1">
      <c r="B104" s="20"/>
      <c r="C104" s="21"/>
      <c r="D104" s="142" t="s">
        <v>39</v>
      </c>
      <c r="E104" s="143"/>
      <c r="F104" s="143"/>
      <c r="G104" s="143"/>
      <c r="H104" s="143"/>
      <c r="I104" s="144"/>
      <c r="J104" s="126"/>
      <c r="K104" s="141"/>
      <c r="L104" s="126"/>
      <c r="M104" s="127"/>
    </row>
  </sheetData>
  <protectedRanges>
    <protectedRange sqref="K97" name="区域5"/>
    <protectedRange sqref="G82:K93" name="区域4"/>
    <protectedRange sqref="K70:K76" name="区域3"/>
    <protectedRange sqref="K44:K63" name="区域2"/>
    <protectedRange sqref="K8:K30" name="区域1"/>
  </protectedRanges>
  <mergeCells count="39">
    <mergeCell ref="D82:F82"/>
    <mergeCell ref="J103:K103"/>
    <mergeCell ref="D103:I103"/>
    <mergeCell ref="G88:G93"/>
    <mergeCell ref="D88:F93"/>
    <mergeCell ref="J104:K104"/>
    <mergeCell ref="D104:I104"/>
    <mergeCell ref="K88:K93"/>
    <mergeCell ref="D97:F97"/>
    <mergeCell ref="L104:M104"/>
    <mergeCell ref="J100:K100"/>
    <mergeCell ref="L100:M100"/>
    <mergeCell ref="H88:H93"/>
    <mergeCell ref="I88:I93"/>
    <mergeCell ref="L102:M102"/>
    <mergeCell ref="J101:K101"/>
    <mergeCell ref="J102:K102"/>
    <mergeCell ref="J88:J93"/>
    <mergeCell ref="L103:M103"/>
    <mergeCell ref="I3:J3"/>
    <mergeCell ref="D86:F86"/>
    <mergeCell ref="D101:I101"/>
    <mergeCell ref="D102:I102"/>
    <mergeCell ref="L101:M101"/>
    <mergeCell ref="D87:F87"/>
    <mergeCell ref="D100:I100"/>
    <mergeCell ref="D83:F83"/>
    <mergeCell ref="D84:F84"/>
    <mergeCell ref="D85:F85"/>
    <mergeCell ref="L4:M4"/>
    <mergeCell ref="B1:M2"/>
    <mergeCell ref="B3:D3"/>
    <mergeCell ref="B4:D4"/>
    <mergeCell ref="E3:F3"/>
    <mergeCell ref="E4:F4"/>
    <mergeCell ref="L3:M3"/>
    <mergeCell ref="G3:H3"/>
    <mergeCell ref="G4:H4"/>
    <mergeCell ref="I4:J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W104"/>
  <sheetViews>
    <sheetView tabSelected="1" topLeftCell="A25" workbookViewId="0">
      <selection activeCell="AB38" sqref="AB38"/>
    </sheetView>
  </sheetViews>
  <sheetFormatPr defaultRowHeight="14.4"/>
  <cols>
    <col min="2" max="2" width="4.77734375" customWidth="1"/>
    <col min="3" max="3" width="5.109375" customWidth="1"/>
    <col min="6" max="6" width="9.88671875" customWidth="1"/>
    <col min="7" max="11" width="8.88671875" style="7"/>
    <col min="12" max="13" width="6.6640625" customWidth="1"/>
    <col min="15" max="23" width="9" hidden="1" customWidth="1"/>
    <col min="24" max="24" width="0" hidden="1" customWidth="1"/>
  </cols>
  <sheetData>
    <row r="1" spans="2:13" ht="16.5" customHeight="1">
      <c r="B1" s="100" t="s">
        <v>91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2:13" ht="16.5" customHeight="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3" ht="16.5" customHeight="1">
      <c r="B3" s="106" t="s">
        <v>40</v>
      </c>
      <c r="C3" s="90"/>
      <c r="D3" s="91"/>
      <c r="E3" s="89" t="str">
        <f ca="1">T(成绩单!E4)</f>
        <v/>
      </c>
      <c r="F3" s="91"/>
      <c r="G3" s="89" t="s">
        <v>46</v>
      </c>
      <c r="H3" s="91"/>
      <c r="I3" s="89" t="str">
        <f ca="1">T(成绩单!I4)</f>
        <v/>
      </c>
      <c r="J3" s="91"/>
      <c r="K3" s="10"/>
      <c r="L3" s="78"/>
      <c r="M3" s="110"/>
    </row>
    <row r="4" spans="2:13" ht="16.5" customHeight="1" thickBot="1">
      <c r="B4" s="107" t="s">
        <v>41</v>
      </c>
      <c r="C4" s="108"/>
      <c r="D4" s="109"/>
      <c r="E4" s="98" t="str">
        <f ca="1">T(成绩单!E5)</f>
        <v/>
      </c>
      <c r="F4" s="109"/>
      <c r="G4" s="98" t="s">
        <v>47</v>
      </c>
      <c r="H4" s="109"/>
      <c r="I4" s="111" t="s">
        <v>52</v>
      </c>
      <c r="J4" s="111"/>
      <c r="K4" s="15" t="s">
        <v>42</v>
      </c>
      <c r="L4" s="98">
        <v>0</v>
      </c>
      <c r="M4" s="99"/>
    </row>
    <row r="5" spans="2:13" ht="15" thickBot="1"/>
    <row r="6" spans="2:13" ht="1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4" t="s">
        <v>14</v>
      </c>
    </row>
    <row r="7" spans="2:13">
      <c r="B7" s="60" t="s">
        <v>28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>
      <c r="B8" s="16">
        <v>1</v>
      </c>
      <c r="C8" s="3">
        <v>1</v>
      </c>
      <c r="D8" s="4" t="s">
        <v>128</v>
      </c>
      <c r="E8" s="3" t="s">
        <v>22</v>
      </c>
      <c r="F8" s="4">
        <v>46</v>
      </c>
      <c r="G8" s="4">
        <v>0</v>
      </c>
      <c r="H8" s="4">
        <v>0.04</v>
      </c>
      <c r="I8" s="3">
        <v>46</v>
      </c>
      <c r="J8" s="3">
        <v>45.96</v>
      </c>
      <c r="K8" s="5"/>
      <c r="L8" s="3">
        <f>IF(K8&gt;=(J8-M8),(IF(K8&lt;=(I8+M8),C8,0)),0)</f>
        <v>0</v>
      </c>
      <c r="M8" s="17"/>
    </row>
    <row r="9" spans="2:13">
      <c r="B9" s="16">
        <v>2</v>
      </c>
      <c r="C9" s="3">
        <v>1</v>
      </c>
      <c r="D9" s="4" t="s">
        <v>129</v>
      </c>
      <c r="E9" s="3" t="s">
        <v>11</v>
      </c>
      <c r="F9" s="4">
        <v>2.5000000000000001E-2</v>
      </c>
      <c r="G9" s="4">
        <v>2.5000000000000001E-2</v>
      </c>
      <c r="H9" s="4">
        <v>9.9999999999999995E-7</v>
      </c>
      <c r="I9" s="3">
        <v>2.5000000000000001E-2</v>
      </c>
      <c r="J9" s="3">
        <v>9.9999999999999995E-7</v>
      </c>
      <c r="K9" s="5"/>
      <c r="L9" s="3">
        <f t="shared" ref="L9:L40" si="0">IF(K9&gt;=(J9-M9),(IF(K9&lt;=(I9+M9),C9,0)),0)</f>
        <v>0</v>
      </c>
      <c r="M9" s="17"/>
    </row>
    <row r="10" spans="2:13">
      <c r="B10" s="16">
        <v>3</v>
      </c>
      <c r="C10" s="3">
        <v>1</v>
      </c>
      <c r="D10" s="4" t="s">
        <v>130</v>
      </c>
      <c r="E10" s="3" t="s">
        <v>22</v>
      </c>
      <c r="F10" s="4">
        <v>73</v>
      </c>
      <c r="G10" s="4">
        <v>0</v>
      </c>
      <c r="H10" s="4">
        <v>-0.02</v>
      </c>
      <c r="I10" s="3">
        <v>73</v>
      </c>
      <c r="J10" s="3">
        <v>72.98</v>
      </c>
      <c r="K10" s="5"/>
      <c r="L10" s="3">
        <f t="shared" si="0"/>
        <v>0</v>
      </c>
      <c r="M10" s="17"/>
    </row>
    <row r="11" spans="2:13">
      <c r="B11" s="16">
        <v>4</v>
      </c>
      <c r="C11" s="3">
        <v>1</v>
      </c>
      <c r="D11" s="4" t="s">
        <v>131</v>
      </c>
      <c r="E11" s="3" t="s">
        <v>22</v>
      </c>
      <c r="F11" s="4">
        <v>80</v>
      </c>
      <c r="G11" s="4">
        <v>-0.05</v>
      </c>
      <c r="H11" s="4">
        <v>-0.08</v>
      </c>
      <c r="I11" s="3">
        <v>79.95</v>
      </c>
      <c r="J11" s="3">
        <v>79.92</v>
      </c>
      <c r="K11" s="5"/>
      <c r="L11" s="3">
        <f t="shared" si="0"/>
        <v>0</v>
      </c>
      <c r="M11" s="17"/>
    </row>
    <row r="12" spans="2:13">
      <c r="B12" s="16">
        <v>5</v>
      </c>
      <c r="C12" s="3">
        <v>1</v>
      </c>
      <c r="D12" s="4" t="s">
        <v>130</v>
      </c>
      <c r="E12" s="3" t="s">
        <v>22</v>
      </c>
      <c r="F12" s="4">
        <v>10</v>
      </c>
      <c r="G12" s="4">
        <v>0.08</v>
      </c>
      <c r="H12" s="4">
        <v>0.06</v>
      </c>
      <c r="I12" s="3">
        <v>10.08</v>
      </c>
      <c r="J12" s="3">
        <v>10.06</v>
      </c>
      <c r="K12" s="5"/>
      <c r="L12" s="3">
        <f t="shared" si="0"/>
        <v>0</v>
      </c>
      <c r="M12" s="17"/>
    </row>
    <row r="13" spans="2:13">
      <c r="B13" s="16">
        <v>6</v>
      </c>
      <c r="C13" s="3">
        <v>1</v>
      </c>
      <c r="D13" s="4" t="s">
        <v>132</v>
      </c>
      <c r="E13" s="3" t="s">
        <v>22</v>
      </c>
      <c r="F13" s="4">
        <v>12</v>
      </c>
      <c r="G13" s="4">
        <v>0.04</v>
      </c>
      <c r="H13" s="4">
        <v>0.02</v>
      </c>
      <c r="I13" s="3">
        <v>12.04</v>
      </c>
      <c r="J13" s="3">
        <v>12.02</v>
      </c>
      <c r="K13" s="5"/>
      <c r="L13" s="3">
        <f t="shared" si="0"/>
        <v>0</v>
      </c>
      <c r="M13" s="17"/>
    </row>
    <row r="14" spans="2:13">
      <c r="B14" s="16">
        <v>7</v>
      </c>
      <c r="C14" s="3">
        <v>1.2</v>
      </c>
      <c r="D14" s="4" t="s">
        <v>133</v>
      </c>
      <c r="E14" s="3" t="s">
        <v>10</v>
      </c>
      <c r="F14" s="4">
        <v>20</v>
      </c>
      <c r="G14" s="4">
        <v>-0.06</v>
      </c>
      <c r="H14" s="4">
        <v>-9.5000000000000001E-2</v>
      </c>
      <c r="I14" s="3">
        <v>19.940000000000001</v>
      </c>
      <c r="J14" s="3">
        <v>19.905000000000001</v>
      </c>
      <c r="K14" s="5"/>
      <c r="L14" s="3">
        <f t="shared" si="0"/>
        <v>0</v>
      </c>
      <c r="M14" s="17"/>
    </row>
    <row r="15" spans="2:13">
      <c r="B15" s="16">
        <v>8</v>
      </c>
      <c r="C15" s="3">
        <v>1</v>
      </c>
      <c r="D15" s="4" t="s">
        <v>128</v>
      </c>
      <c r="E15" s="3" t="s">
        <v>22</v>
      </c>
      <c r="F15" s="4">
        <v>13</v>
      </c>
      <c r="G15" s="4">
        <v>0.02</v>
      </c>
      <c r="H15" s="4">
        <v>0</v>
      </c>
      <c r="I15" s="3">
        <v>13.02</v>
      </c>
      <c r="J15" s="3">
        <v>13</v>
      </c>
      <c r="K15" s="5"/>
      <c r="L15" s="3">
        <f t="shared" si="0"/>
        <v>0</v>
      </c>
      <c r="M15" s="17"/>
    </row>
    <row r="16" spans="2:13">
      <c r="B16" s="16">
        <v>9</v>
      </c>
      <c r="C16" s="3">
        <v>1</v>
      </c>
      <c r="D16" s="4" t="s">
        <v>134</v>
      </c>
      <c r="E16" s="3" t="s">
        <v>22</v>
      </c>
      <c r="F16" s="4">
        <v>17</v>
      </c>
      <c r="G16" s="4">
        <v>-0.02</v>
      </c>
      <c r="H16" s="4">
        <v>-0.04</v>
      </c>
      <c r="I16" s="3">
        <v>16.98</v>
      </c>
      <c r="J16" s="3">
        <v>16.96</v>
      </c>
      <c r="K16" s="5"/>
      <c r="L16" s="3">
        <f t="shared" si="0"/>
        <v>0</v>
      </c>
      <c r="M16" s="17"/>
    </row>
    <row r="17" spans="2:13">
      <c r="B17" s="16">
        <v>10</v>
      </c>
      <c r="C17" s="3">
        <v>1.2</v>
      </c>
      <c r="D17" s="4" t="s">
        <v>129</v>
      </c>
      <c r="E17" s="3" t="s">
        <v>22</v>
      </c>
      <c r="F17" s="4">
        <v>10</v>
      </c>
      <c r="G17" s="4">
        <v>2.5000000000000001E-2</v>
      </c>
      <c r="H17" s="4">
        <v>0</v>
      </c>
      <c r="I17" s="3">
        <v>10.025</v>
      </c>
      <c r="J17" s="3">
        <v>10</v>
      </c>
      <c r="K17" s="5"/>
      <c r="L17" s="3">
        <f t="shared" si="0"/>
        <v>0</v>
      </c>
      <c r="M17" s="17"/>
    </row>
    <row r="18" spans="2:13">
      <c r="B18" s="16">
        <v>11</v>
      </c>
      <c r="C18" s="3">
        <v>1</v>
      </c>
      <c r="D18" s="4" t="s">
        <v>135</v>
      </c>
      <c r="E18" s="3" t="s">
        <v>22</v>
      </c>
      <c r="F18" s="4">
        <v>42</v>
      </c>
      <c r="G18" s="4">
        <v>0</v>
      </c>
      <c r="H18" s="4">
        <v>-2.5000000000000001E-2</v>
      </c>
      <c r="I18" s="3">
        <v>42</v>
      </c>
      <c r="J18" s="3">
        <v>41.975000000000001</v>
      </c>
      <c r="K18" s="5"/>
      <c r="L18" s="3">
        <f t="shared" si="0"/>
        <v>0</v>
      </c>
      <c r="M18" s="17"/>
    </row>
    <row r="19" spans="2:13">
      <c r="B19" s="16">
        <v>12</v>
      </c>
      <c r="C19" s="3">
        <v>1.2</v>
      </c>
      <c r="D19" s="4" t="s">
        <v>136</v>
      </c>
      <c r="E19" s="3" t="s">
        <v>22</v>
      </c>
      <c r="F19" s="4">
        <v>12</v>
      </c>
      <c r="G19" s="4">
        <v>0</v>
      </c>
      <c r="H19" s="4">
        <v>-2.5000000000000001E-2</v>
      </c>
      <c r="I19" s="3">
        <v>12</v>
      </c>
      <c r="J19" s="3">
        <v>11.975</v>
      </c>
      <c r="K19" s="5"/>
      <c r="L19" s="3">
        <f t="shared" si="0"/>
        <v>0</v>
      </c>
      <c r="M19" s="17"/>
    </row>
    <row r="20" spans="2:13">
      <c r="B20" s="16">
        <v>13</v>
      </c>
      <c r="C20" s="3">
        <v>1</v>
      </c>
      <c r="D20" s="4" t="s">
        <v>137</v>
      </c>
      <c r="E20" s="3" t="s">
        <v>22</v>
      </c>
      <c r="F20" s="4">
        <v>98</v>
      </c>
      <c r="G20" s="4">
        <v>7.4999999999999997E-2</v>
      </c>
      <c r="H20" s="4">
        <v>0.05</v>
      </c>
      <c r="I20" s="3">
        <v>98.075000000000003</v>
      </c>
      <c r="J20" s="3">
        <v>98.05</v>
      </c>
      <c r="K20" s="5"/>
      <c r="L20" s="3">
        <f t="shared" si="0"/>
        <v>0</v>
      </c>
      <c r="M20" s="17"/>
    </row>
    <row r="21" spans="2:13">
      <c r="B21" s="16">
        <v>14</v>
      </c>
      <c r="C21" s="3">
        <v>1</v>
      </c>
      <c r="D21" s="4" t="s">
        <v>137</v>
      </c>
      <c r="E21" s="3" t="s">
        <v>22</v>
      </c>
      <c r="F21" s="4">
        <v>80</v>
      </c>
      <c r="G21" s="4">
        <v>1.4999999999999999E-2</v>
      </c>
      <c r="H21" s="4">
        <v>-1.4999999999999999E-2</v>
      </c>
      <c r="I21" s="3">
        <v>80.015000000000001</v>
      </c>
      <c r="J21" s="3">
        <v>79.984999999999999</v>
      </c>
      <c r="K21" s="5"/>
      <c r="L21" s="3">
        <f t="shared" si="0"/>
        <v>0</v>
      </c>
      <c r="M21" s="17"/>
    </row>
    <row r="22" spans="2:13">
      <c r="B22" s="16">
        <v>15</v>
      </c>
      <c r="C22" s="3">
        <v>1</v>
      </c>
      <c r="D22" s="4" t="s">
        <v>137</v>
      </c>
      <c r="E22" s="3" t="s">
        <v>22</v>
      </c>
      <c r="F22" s="4">
        <v>50</v>
      </c>
      <c r="G22" s="4">
        <v>0</v>
      </c>
      <c r="H22" s="4">
        <v>-0.03</v>
      </c>
      <c r="I22" s="3">
        <v>50</v>
      </c>
      <c r="J22" s="3">
        <v>49.97</v>
      </c>
      <c r="K22" s="5"/>
      <c r="L22" s="3">
        <f t="shared" si="0"/>
        <v>0</v>
      </c>
      <c r="M22" s="17"/>
    </row>
    <row r="23" spans="2:13">
      <c r="B23" s="16">
        <v>16</v>
      </c>
      <c r="C23" s="3">
        <v>1</v>
      </c>
      <c r="D23" s="4" t="s">
        <v>138</v>
      </c>
      <c r="E23" s="3" t="s">
        <v>22</v>
      </c>
      <c r="F23" s="4">
        <v>30</v>
      </c>
      <c r="G23" s="4">
        <v>1.4999999999999999E-2</v>
      </c>
      <c r="H23" s="4">
        <v>-1.4999999999999999E-2</v>
      </c>
      <c r="I23" s="3">
        <v>30.015000000000001</v>
      </c>
      <c r="J23" s="3">
        <v>29.984999999999999</v>
      </c>
      <c r="K23" s="5"/>
      <c r="L23" s="3">
        <f t="shared" si="0"/>
        <v>0</v>
      </c>
      <c r="M23" s="17"/>
    </row>
    <row r="24" spans="2:13">
      <c r="B24" s="16">
        <v>17</v>
      </c>
      <c r="C24" s="3">
        <v>1.8</v>
      </c>
      <c r="D24" s="4" t="s">
        <v>138</v>
      </c>
      <c r="E24" s="3" t="s">
        <v>22</v>
      </c>
      <c r="F24" s="4">
        <v>32</v>
      </c>
      <c r="G24" s="4">
        <v>1.4E-2</v>
      </c>
      <c r="H24" s="4">
        <v>-1.0999999999999999E-2</v>
      </c>
      <c r="I24" s="3">
        <v>32.014000000000003</v>
      </c>
      <c r="J24" s="3">
        <v>31.989000000000001</v>
      </c>
      <c r="K24" s="5"/>
      <c r="L24" s="3">
        <f t="shared" si="0"/>
        <v>0</v>
      </c>
      <c r="M24" s="17"/>
    </row>
    <row r="25" spans="2:13">
      <c r="B25" s="16">
        <v>18</v>
      </c>
      <c r="C25" s="3">
        <v>1</v>
      </c>
      <c r="D25" s="4" t="s">
        <v>139</v>
      </c>
      <c r="E25" s="3" t="s">
        <v>10</v>
      </c>
      <c r="F25" s="4">
        <v>50</v>
      </c>
      <c r="G25" s="4">
        <v>0</v>
      </c>
      <c r="H25" s="4">
        <v>-0.03</v>
      </c>
      <c r="I25" s="3">
        <v>50</v>
      </c>
      <c r="J25" s="3">
        <v>49.97</v>
      </c>
      <c r="K25" s="5"/>
      <c r="L25" s="3">
        <f t="shared" si="0"/>
        <v>0</v>
      </c>
      <c r="M25" s="17"/>
    </row>
    <row r="26" spans="2:13">
      <c r="B26" s="16">
        <v>19</v>
      </c>
      <c r="C26" s="3">
        <v>0.6</v>
      </c>
      <c r="D26" s="4" t="s">
        <v>138</v>
      </c>
      <c r="E26" s="3" t="s">
        <v>10</v>
      </c>
      <c r="F26" s="4">
        <v>10</v>
      </c>
      <c r="G26" s="4">
        <v>1.4999999999999999E-2</v>
      </c>
      <c r="H26" s="4">
        <v>0</v>
      </c>
      <c r="I26" s="3">
        <v>10.015000000000001</v>
      </c>
      <c r="J26" s="3">
        <v>10</v>
      </c>
      <c r="K26" s="5"/>
      <c r="L26" s="3">
        <f t="shared" si="0"/>
        <v>0</v>
      </c>
      <c r="M26" s="17"/>
    </row>
    <row r="27" spans="2:13">
      <c r="B27" s="16">
        <v>20</v>
      </c>
      <c r="C27" s="3">
        <v>0.6</v>
      </c>
      <c r="D27" s="4" t="s">
        <v>138</v>
      </c>
      <c r="E27" s="3" t="s">
        <v>10</v>
      </c>
      <c r="F27" s="4">
        <v>10</v>
      </c>
      <c r="G27" s="4">
        <v>1.4999999999999999E-2</v>
      </c>
      <c r="H27" s="4">
        <v>0</v>
      </c>
      <c r="I27" s="3">
        <v>10.015000000000001</v>
      </c>
      <c r="J27" s="3">
        <v>10</v>
      </c>
      <c r="K27" s="5"/>
      <c r="L27" s="3">
        <f t="shared" si="0"/>
        <v>0</v>
      </c>
      <c r="M27" s="17"/>
    </row>
    <row r="28" spans="2:13">
      <c r="B28" s="16">
        <v>21</v>
      </c>
      <c r="C28" s="3">
        <v>1.2</v>
      </c>
      <c r="D28" s="4" t="s">
        <v>140</v>
      </c>
      <c r="E28" s="3" t="s">
        <v>22</v>
      </c>
      <c r="F28" s="4">
        <v>148</v>
      </c>
      <c r="G28" s="4">
        <v>-0.05</v>
      </c>
      <c r="H28" s="4">
        <v>-7.4999999999999997E-2</v>
      </c>
      <c r="I28" s="3">
        <v>147.94999999999999</v>
      </c>
      <c r="J28" s="3">
        <v>147.92500000000001</v>
      </c>
      <c r="K28" s="5"/>
      <c r="L28" s="3">
        <f t="shared" si="0"/>
        <v>0</v>
      </c>
      <c r="M28" s="17"/>
    </row>
    <row r="29" spans="2:13">
      <c r="B29" s="16">
        <v>22</v>
      </c>
      <c r="C29" s="3">
        <v>1</v>
      </c>
      <c r="D29" s="4" t="s">
        <v>141</v>
      </c>
      <c r="E29" s="3" t="s">
        <v>22</v>
      </c>
      <c r="F29" s="4">
        <v>5</v>
      </c>
      <c r="G29" s="4">
        <v>0</v>
      </c>
      <c r="H29" s="4">
        <v>-0.02</v>
      </c>
      <c r="I29" s="3">
        <v>5</v>
      </c>
      <c r="J29" s="3">
        <v>4.9800000000000004</v>
      </c>
      <c r="K29" s="5"/>
      <c r="L29" s="3">
        <f t="shared" si="0"/>
        <v>0</v>
      </c>
      <c r="M29" s="17"/>
    </row>
    <row r="30" spans="2:13">
      <c r="B30" s="16">
        <v>23</v>
      </c>
      <c r="C30" s="3">
        <v>1</v>
      </c>
      <c r="D30" s="4" t="s">
        <v>141</v>
      </c>
      <c r="E30" s="3" t="s">
        <v>22</v>
      </c>
      <c r="F30" s="4">
        <v>5</v>
      </c>
      <c r="G30" s="4">
        <v>0</v>
      </c>
      <c r="H30" s="4">
        <v>-0.02</v>
      </c>
      <c r="I30" s="3">
        <v>5</v>
      </c>
      <c r="J30" s="3">
        <v>4.9800000000000004</v>
      </c>
      <c r="K30" s="5"/>
      <c r="L30" s="3">
        <f t="shared" si="0"/>
        <v>0</v>
      </c>
      <c r="M30" s="17"/>
    </row>
    <row r="31" spans="2:13">
      <c r="B31" s="16">
        <v>24</v>
      </c>
      <c r="C31" s="3">
        <v>1.2</v>
      </c>
      <c r="D31" s="4" t="s">
        <v>142</v>
      </c>
      <c r="E31" s="3" t="s">
        <v>22</v>
      </c>
      <c r="F31" s="4">
        <v>24</v>
      </c>
      <c r="G31" s="4">
        <v>2.1000000000000001E-2</v>
      </c>
      <c r="H31" s="4">
        <v>0</v>
      </c>
      <c r="I31" s="3">
        <v>24.021000000000001</v>
      </c>
      <c r="J31" s="3">
        <v>24</v>
      </c>
      <c r="K31" s="5"/>
      <c r="L31" s="3">
        <f t="shared" si="0"/>
        <v>0</v>
      </c>
      <c r="M31" s="17"/>
    </row>
    <row r="32" spans="2:13">
      <c r="B32" s="16">
        <v>25</v>
      </c>
      <c r="C32" s="3">
        <v>1</v>
      </c>
      <c r="D32" s="4" t="s">
        <v>143</v>
      </c>
      <c r="E32" s="3" t="s">
        <v>22</v>
      </c>
      <c r="F32" s="4">
        <v>50</v>
      </c>
      <c r="G32" s="4">
        <v>2.5000000000000001E-2</v>
      </c>
      <c r="H32" s="4">
        <v>-2.5000000000000001E-2</v>
      </c>
      <c r="I32" s="3">
        <v>50.024999999999999</v>
      </c>
      <c r="J32" s="3">
        <v>49.975000000000001</v>
      </c>
      <c r="K32" s="5"/>
      <c r="L32" s="3">
        <f t="shared" si="0"/>
        <v>0</v>
      </c>
      <c r="M32" s="17"/>
    </row>
    <row r="33" spans="2:13">
      <c r="B33" s="16">
        <v>26</v>
      </c>
      <c r="C33" s="3">
        <v>1</v>
      </c>
      <c r="D33" s="4" t="s">
        <v>144</v>
      </c>
      <c r="E33" s="3" t="s">
        <v>22</v>
      </c>
      <c r="F33" s="4">
        <v>45</v>
      </c>
      <c r="G33" s="4">
        <v>0.01</v>
      </c>
      <c r="H33" s="4">
        <v>-0.01</v>
      </c>
      <c r="I33" s="3">
        <v>45.01</v>
      </c>
      <c r="J33" s="3">
        <v>49.99</v>
      </c>
      <c r="K33" s="5"/>
      <c r="L33" s="3">
        <f t="shared" si="0"/>
        <v>0</v>
      </c>
      <c r="M33" s="17"/>
    </row>
    <row r="34" spans="2:13">
      <c r="B34" s="16">
        <v>27</v>
      </c>
      <c r="C34" s="3"/>
      <c r="D34" s="4"/>
      <c r="E34" s="3"/>
      <c r="F34" s="4"/>
      <c r="G34" s="4"/>
      <c r="H34" s="4"/>
      <c r="I34" s="3"/>
      <c r="J34" s="3"/>
      <c r="K34" s="5"/>
      <c r="L34" s="3">
        <f t="shared" si="0"/>
        <v>0</v>
      </c>
      <c r="M34" s="17"/>
    </row>
    <row r="35" spans="2:13">
      <c r="B35" s="16">
        <v>28</v>
      </c>
      <c r="C35" s="3"/>
      <c r="D35" s="4"/>
      <c r="E35" s="3"/>
      <c r="F35" s="4"/>
      <c r="G35" s="4"/>
      <c r="H35" s="4"/>
      <c r="I35" s="3"/>
      <c r="J35" s="3"/>
      <c r="K35" s="5"/>
      <c r="L35" s="3">
        <f t="shared" si="0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/>
      <c r="J36" s="3"/>
      <c r="K36" s="5"/>
      <c r="L36" s="3">
        <f t="shared" si="0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/>
      <c r="J37" s="3"/>
      <c r="K37" s="5"/>
      <c r="L37" s="3">
        <f t="shared" si="0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/>
      <c r="J38" s="3"/>
      <c r="K38" s="5"/>
      <c r="L38" s="3">
        <f t="shared" si="0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/>
      <c r="J39" s="3"/>
      <c r="K39" s="5"/>
      <c r="L39" s="3">
        <f t="shared" si="0"/>
        <v>0</v>
      </c>
      <c r="M39" s="17"/>
    </row>
    <row r="40" spans="2:13" ht="15" thickBot="1">
      <c r="B40" s="26">
        <v>33</v>
      </c>
      <c r="C40" s="8"/>
      <c r="D40" s="8"/>
      <c r="E40" s="8"/>
      <c r="F40" s="8"/>
      <c r="G40" s="8"/>
      <c r="H40" s="8"/>
      <c r="I40" s="8"/>
      <c r="J40" s="8"/>
      <c r="K40" s="9"/>
      <c r="L40" s="8">
        <f t="shared" si="0"/>
        <v>0</v>
      </c>
      <c r="M40" s="31"/>
    </row>
    <row r="41" spans="2:13" ht="15" thickBot="1">
      <c r="B41" s="35" t="s">
        <v>48</v>
      </c>
      <c r="C41" s="36">
        <f>SUM(C8:C40)</f>
        <v>27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0</v>
      </c>
      <c r="M41" s="38"/>
    </row>
    <row r="42" spans="2:13" ht="1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29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1.2</v>
      </c>
      <c r="D44" s="1" t="s">
        <v>145</v>
      </c>
      <c r="E44" s="3" t="s">
        <v>12</v>
      </c>
      <c r="F44" s="3" t="s">
        <v>53</v>
      </c>
      <c r="G44" s="3"/>
      <c r="H44" s="3"/>
      <c r="I44" s="3" t="s">
        <v>43</v>
      </c>
      <c r="J44" s="3" t="s">
        <v>44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1.5</v>
      </c>
      <c r="D45" s="1" t="s">
        <v>142</v>
      </c>
      <c r="E45" s="3" t="s">
        <v>12</v>
      </c>
      <c r="F45" s="3" t="s">
        <v>54</v>
      </c>
      <c r="G45" s="3"/>
      <c r="H45" s="3"/>
      <c r="I45" s="3" t="s">
        <v>43</v>
      </c>
      <c r="J45" s="3" t="s">
        <v>44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0.5</v>
      </c>
      <c r="D46" s="1" t="s">
        <v>132</v>
      </c>
      <c r="E46" s="3" t="s">
        <v>22</v>
      </c>
      <c r="F46" s="3">
        <v>10</v>
      </c>
      <c r="G46" s="3">
        <v>0.1</v>
      </c>
      <c r="H46" s="3">
        <v>-0.1</v>
      </c>
      <c r="I46" s="3">
        <f t="shared" ref="I46:I64" si="1">SUM(F46+G46)</f>
        <v>10.1</v>
      </c>
      <c r="J46" s="3">
        <f t="shared" ref="J46:J64" si="2">SUM(F46+H46)</f>
        <v>9.9</v>
      </c>
      <c r="K46" s="5"/>
      <c r="L46" s="3"/>
      <c r="M46" s="17"/>
    </row>
    <row r="47" spans="2:13">
      <c r="B47" s="16">
        <v>4</v>
      </c>
      <c r="C47" s="3">
        <v>0.5</v>
      </c>
      <c r="D47" s="2" t="s">
        <v>132</v>
      </c>
      <c r="E47" s="3" t="s">
        <v>10</v>
      </c>
      <c r="F47" s="3">
        <v>30</v>
      </c>
      <c r="G47" s="3">
        <v>0.1</v>
      </c>
      <c r="H47" s="3">
        <v>-0.1</v>
      </c>
      <c r="I47" s="3">
        <f t="shared" si="1"/>
        <v>30.1</v>
      </c>
      <c r="J47" s="3">
        <f t="shared" si="2"/>
        <v>29.9</v>
      </c>
      <c r="K47" s="5"/>
      <c r="L47" s="3"/>
      <c r="M47" s="17"/>
    </row>
    <row r="48" spans="2:13">
      <c r="B48" s="16">
        <v>5</v>
      </c>
      <c r="C48" s="3">
        <v>0.5</v>
      </c>
      <c r="D48" s="1" t="s">
        <v>131</v>
      </c>
      <c r="E48" s="3" t="s">
        <v>22</v>
      </c>
      <c r="F48" s="3">
        <v>60</v>
      </c>
      <c r="G48" s="3">
        <v>0.1</v>
      </c>
      <c r="H48" s="3">
        <v>-0.1</v>
      </c>
      <c r="I48" s="3">
        <f t="shared" si="1"/>
        <v>60.1</v>
      </c>
      <c r="J48" s="3">
        <f t="shared" si="2"/>
        <v>59.9</v>
      </c>
      <c r="K48" s="5"/>
      <c r="L48" s="3">
        <f t="shared" ref="L48:L66" si="3">IF(K48&gt;=(J46-M48),(IF(K48&lt;=(I46+M48),C48,0)),0)</f>
        <v>0</v>
      </c>
      <c r="M48" s="17"/>
    </row>
    <row r="49" spans="2:13">
      <c r="B49" s="16">
        <v>6</v>
      </c>
      <c r="C49" s="3">
        <v>0.5</v>
      </c>
      <c r="D49" s="1" t="s">
        <v>134</v>
      </c>
      <c r="E49" s="3" t="s">
        <v>22</v>
      </c>
      <c r="F49" s="3">
        <v>12</v>
      </c>
      <c r="G49" s="3">
        <v>0.1</v>
      </c>
      <c r="H49" s="3">
        <v>-0.1</v>
      </c>
      <c r="I49" s="3">
        <f t="shared" si="1"/>
        <v>12.1</v>
      </c>
      <c r="J49" s="3">
        <f t="shared" si="2"/>
        <v>11.9</v>
      </c>
      <c r="K49" s="5"/>
      <c r="L49" s="3">
        <f t="shared" si="3"/>
        <v>0</v>
      </c>
      <c r="M49" s="17"/>
    </row>
    <row r="50" spans="2:13">
      <c r="B50" s="16">
        <v>7</v>
      </c>
      <c r="C50" s="3">
        <v>0.5</v>
      </c>
      <c r="D50" s="1" t="s">
        <v>146</v>
      </c>
      <c r="E50" s="3" t="s">
        <v>22</v>
      </c>
      <c r="F50" s="3">
        <v>17.5</v>
      </c>
      <c r="G50" s="3">
        <v>0.1</v>
      </c>
      <c r="H50" s="3">
        <v>-0.1</v>
      </c>
      <c r="I50" s="3">
        <f t="shared" si="1"/>
        <v>17.600000000000001</v>
      </c>
      <c r="J50" s="3">
        <f t="shared" si="2"/>
        <v>17.399999999999999</v>
      </c>
      <c r="K50" s="5"/>
      <c r="L50" s="3">
        <f t="shared" si="3"/>
        <v>0</v>
      </c>
      <c r="M50" s="17"/>
    </row>
    <row r="51" spans="2:13">
      <c r="B51" s="16">
        <v>8</v>
      </c>
      <c r="C51" s="3">
        <v>0.45</v>
      </c>
      <c r="D51" s="1" t="s">
        <v>147</v>
      </c>
      <c r="E51" s="3" t="s">
        <v>22</v>
      </c>
      <c r="F51" s="3">
        <v>11</v>
      </c>
      <c r="G51" s="3">
        <v>0.1</v>
      </c>
      <c r="H51" s="3">
        <v>-0.1</v>
      </c>
      <c r="I51" s="3">
        <f t="shared" si="1"/>
        <v>11.1</v>
      </c>
      <c r="J51" s="3">
        <f t="shared" si="2"/>
        <v>10.9</v>
      </c>
      <c r="K51" s="5"/>
      <c r="L51" s="3">
        <f t="shared" si="3"/>
        <v>0</v>
      </c>
      <c r="M51" s="17"/>
    </row>
    <row r="52" spans="2:13">
      <c r="B52" s="16">
        <v>9</v>
      </c>
      <c r="C52" s="3">
        <v>0.45</v>
      </c>
      <c r="D52" s="1" t="s">
        <v>129</v>
      </c>
      <c r="E52" s="3" t="s">
        <v>22</v>
      </c>
      <c r="F52" s="3">
        <v>10</v>
      </c>
      <c r="G52" s="3">
        <v>0.1</v>
      </c>
      <c r="H52" s="3">
        <v>-0.1</v>
      </c>
      <c r="I52" s="3">
        <f t="shared" si="1"/>
        <v>10.1</v>
      </c>
      <c r="J52" s="3">
        <f t="shared" si="2"/>
        <v>9.9</v>
      </c>
      <c r="K52" s="5"/>
      <c r="L52" s="3">
        <f t="shared" si="3"/>
        <v>0</v>
      </c>
      <c r="M52" s="17"/>
    </row>
    <row r="53" spans="2:13">
      <c r="B53" s="16">
        <v>10</v>
      </c>
      <c r="C53" s="3">
        <v>0.45</v>
      </c>
      <c r="D53" s="2" t="s">
        <v>148</v>
      </c>
      <c r="E53" s="3" t="s">
        <v>22</v>
      </c>
      <c r="F53" s="3">
        <v>10.5</v>
      </c>
      <c r="G53" s="3">
        <v>0.1</v>
      </c>
      <c r="H53" s="3">
        <v>-0.1</v>
      </c>
      <c r="I53" s="3">
        <f t="shared" si="1"/>
        <v>10.6</v>
      </c>
      <c r="J53" s="3">
        <f t="shared" si="2"/>
        <v>10.4</v>
      </c>
      <c r="K53" s="5"/>
      <c r="L53" s="3">
        <f t="shared" si="3"/>
        <v>0</v>
      </c>
      <c r="M53" s="17"/>
    </row>
    <row r="54" spans="2:13">
      <c r="B54" s="16">
        <v>11</v>
      </c>
      <c r="C54" s="3">
        <v>0.4</v>
      </c>
      <c r="D54" s="2" t="s">
        <v>149</v>
      </c>
      <c r="E54" s="3" t="s">
        <v>22</v>
      </c>
      <c r="F54" s="3">
        <v>15</v>
      </c>
      <c r="G54" s="3">
        <v>0.1</v>
      </c>
      <c r="H54" s="3">
        <v>-0.1</v>
      </c>
      <c r="I54" s="3">
        <f t="shared" si="1"/>
        <v>15.1</v>
      </c>
      <c r="J54" s="3">
        <f t="shared" si="2"/>
        <v>14.9</v>
      </c>
      <c r="K54" s="5"/>
      <c r="L54" s="3">
        <f t="shared" si="3"/>
        <v>0</v>
      </c>
      <c r="M54" s="17"/>
    </row>
    <row r="55" spans="2:13">
      <c r="B55" s="16">
        <v>12</v>
      </c>
      <c r="C55" s="3">
        <v>0.4</v>
      </c>
      <c r="D55" s="1" t="s">
        <v>150</v>
      </c>
      <c r="E55" s="3" t="s">
        <v>22</v>
      </c>
      <c r="F55" s="3">
        <v>11</v>
      </c>
      <c r="G55" s="3">
        <v>0.1</v>
      </c>
      <c r="H55" s="3">
        <v>-0.1</v>
      </c>
      <c r="I55" s="3">
        <f t="shared" si="1"/>
        <v>11.1</v>
      </c>
      <c r="J55" s="3">
        <f t="shared" si="2"/>
        <v>10.9</v>
      </c>
      <c r="K55" s="5"/>
      <c r="L55" s="3">
        <f t="shared" si="3"/>
        <v>0</v>
      </c>
      <c r="M55" s="17"/>
    </row>
    <row r="56" spans="2:13">
      <c r="B56" s="16">
        <v>13</v>
      </c>
      <c r="C56" s="3">
        <v>0.35</v>
      </c>
      <c r="D56" s="1" t="s">
        <v>142</v>
      </c>
      <c r="E56" s="3" t="s">
        <v>22</v>
      </c>
      <c r="F56" s="3">
        <v>3</v>
      </c>
      <c r="G56" s="3">
        <v>0.1</v>
      </c>
      <c r="H56" s="3">
        <v>-0.1</v>
      </c>
      <c r="I56" s="3">
        <f t="shared" si="1"/>
        <v>3.1</v>
      </c>
      <c r="J56" s="3">
        <f t="shared" si="2"/>
        <v>2.9</v>
      </c>
      <c r="K56" s="5"/>
      <c r="L56" s="3">
        <f t="shared" si="3"/>
        <v>0</v>
      </c>
      <c r="M56" s="17"/>
    </row>
    <row r="57" spans="2:13">
      <c r="B57" s="16">
        <v>14</v>
      </c>
      <c r="C57" s="3">
        <v>0.35</v>
      </c>
      <c r="D57" s="1" t="s">
        <v>137</v>
      </c>
      <c r="E57" s="3" t="s">
        <v>22</v>
      </c>
      <c r="F57" s="3">
        <v>65</v>
      </c>
      <c r="G57" s="3">
        <v>0.1</v>
      </c>
      <c r="H57" s="3">
        <v>-0.1</v>
      </c>
      <c r="I57" s="3">
        <f t="shared" si="1"/>
        <v>65.099999999999994</v>
      </c>
      <c r="J57" s="3">
        <f t="shared" si="2"/>
        <v>64.900000000000006</v>
      </c>
      <c r="K57" s="5"/>
      <c r="L57" s="3">
        <f t="shared" si="3"/>
        <v>0</v>
      </c>
      <c r="M57" s="17"/>
    </row>
    <row r="58" spans="2:13">
      <c r="B58" s="16">
        <v>15</v>
      </c>
      <c r="C58" s="3">
        <v>0.35</v>
      </c>
      <c r="D58" s="1" t="s">
        <v>139</v>
      </c>
      <c r="E58" s="3" t="s">
        <v>22</v>
      </c>
      <c r="F58" s="3">
        <v>15</v>
      </c>
      <c r="G58" s="3">
        <v>0.1</v>
      </c>
      <c r="H58" s="3">
        <v>-0.1</v>
      </c>
      <c r="I58" s="3">
        <f t="shared" si="1"/>
        <v>15.1</v>
      </c>
      <c r="J58" s="3">
        <f t="shared" si="2"/>
        <v>14.9</v>
      </c>
      <c r="K58" s="5"/>
      <c r="L58" s="3">
        <f t="shared" si="3"/>
        <v>0</v>
      </c>
      <c r="M58" s="17"/>
    </row>
    <row r="59" spans="2:13">
      <c r="B59" s="16">
        <v>16</v>
      </c>
      <c r="C59" s="3">
        <v>0.35</v>
      </c>
      <c r="D59" s="1" t="s">
        <v>129</v>
      </c>
      <c r="E59" s="3" t="s">
        <v>22</v>
      </c>
      <c r="F59" s="3">
        <v>5.5</v>
      </c>
      <c r="G59" s="3">
        <v>0.1</v>
      </c>
      <c r="H59" s="3">
        <v>-0.1</v>
      </c>
      <c r="I59" s="3">
        <f t="shared" si="1"/>
        <v>5.6</v>
      </c>
      <c r="J59" s="3">
        <f t="shared" si="2"/>
        <v>5.4</v>
      </c>
      <c r="K59" s="5"/>
      <c r="L59" s="3">
        <f t="shared" si="3"/>
        <v>0</v>
      </c>
      <c r="M59" s="17"/>
    </row>
    <row r="60" spans="2:13">
      <c r="B60" s="16">
        <v>17</v>
      </c>
      <c r="C60" s="3">
        <v>0.35</v>
      </c>
      <c r="D60" s="1" t="s">
        <v>138</v>
      </c>
      <c r="E60" s="3" t="s">
        <v>10</v>
      </c>
      <c r="F60" s="3">
        <v>16</v>
      </c>
      <c r="G60" s="3">
        <v>0.1</v>
      </c>
      <c r="H60" s="3">
        <v>-0.1</v>
      </c>
      <c r="I60" s="3">
        <f t="shared" si="1"/>
        <v>16.100000000000001</v>
      </c>
      <c r="J60" s="3">
        <f t="shared" si="2"/>
        <v>15.9</v>
      </c>
      <c r="K60" s="5"/>
      <c r="L60" s="3">
        <f t="shared" si="3"/>
        <v>0</v>
      </c>
      <c r="M60" s="17"/>
    </row>
    <row r="61" spans="2:13">
      <c r="B61" s="16">
        <v>18</v>
      </c>
      <c r="C61" s="3">
        <v>0.35</v>
      </c>
      <c r="D61" s="1" t="s">
        <v>139</v>
      </c>
      <c r="E61" s="3" t="s">
        <v>22</v>
      </c>
      <c r="F61" s="3">
        <v>30</v>
      </c>
      <c r="G61" s="3">
        <v>0.1</v>
      </c>
      <c r="H61" s="3">
        <v>-0.1</v>
      </c>
      <c r="I61" s="3">
        <f t="shared" si="1"/>
        <v>30.1</v>
      </c>
      <c r="J61" s="3">
        <f t="shared" si="2"/>
        <v>29.9</v>
      </c>
      <c r="K61" s="5"/>
      <c r="L61" s="3">
        <f t="shared" si="3"/>
        <v>0</v>
      </c>
      <c r="M61" s="17"/>
    </row>
    <row r="62" spans="2:13">
      <c r="B62" s="16">
        <v>19</v>
      </c>
      <c r="C62" s="3">
        <v>0.35</v>
      </c>
      <c r="D62" s="1" t="s">
        <v>138</v>
      </c>
      <c r="E62" s="3" t="s">
        <v>22</v>
      </c>
      <c r="F62" s="3">
        <v>10</v>
      </c>
      <c r="G62" s="3">
        <v>0.1</v>
      </c>
      <c r="H62" s="3">
        <v>-0.1</v>
      </c>
      <c r="I62" s="3">
        <f t="shared" si="1"/>
        <v>10.1</v>
      </c>
      <c r="J62" s="3">
        <f t="shared" si="2"/>
        <v>9.9</v>
      </c>
      <c r="K62" s="5"/>
      <c r="L62" s="3">
        <f t="shared" si="3"/>
        <v>0</v>
      </c>
      <c r="M62" s="17"/>
    </row>
    <row r="63" spans="2:13">
      <c r="B63" s="16">
        <v>20</v>
      </c>
      <c r="C63" s="3">
        <v>0.35</v>
      </c>
      <c r="D63" s="1" t="s">
        <v>151</v>
      </c>
      <c r="E63" s="3" t="s">
        <v>22</v>
      </c>
      <c r="F63" s="3">
        <v>3</v>
      </c>
      <c r="G63" s="3">
        <v>0.1</v>
      </c>
      <c r="H63" s="3">
        <v>-0.1</v>
      </c>
      <c r="I63" s="3">
        <f t="shared" si="1"/>
        <v>3.1</v>
      </c>
      <c r="J63" s="3">
        <f t="shared" si="2"/>
        <v>2.9</v>
      </c>
      <c r="K63" s="5"/>
      <c r="L63" s="3">
        <f t="shared" si="3"/>
        <v>0</v>
      </c>
      <c r="M63" s="17"/>
    </row>
    <row r="64" spans="2:13">
      <c r="B64" s="16">
        <v>21</v>
      </c>
      <c r="C64" s="3">
        <v>0.35</v>
      </c>
      <c r="D64" s="1" t="s">
        <v>151</v>
      </c>
      <c r="E64" s="3" t="s">
        <v>22</v>
      </c>
      <c r="F64" s="3">
        <v>5</v>
      </c>
      <c r="G64" s="3">
        <v>0.1</v>
      </c>
      <c r="H64" s="3">
        <v>-0.1</v>
      </c>
      <c r="I64" s="8">
        <f t="shared" si="1"/>
        <v>5.0999999999999996</v>
      </c>
      <c r="J64" s="8">
        <f t="shared" si="2"/>
        <v>4.9000000000000004</v>
      </c>
      <c r="K64" s="5"/>
      <c r="L64" s="3">
        <f t="shared" si="3"/>
        <v>0</v>
      </c>
      <c r="M64" s="17"/>
    </row>
    <row r="65" spans="2:13">
      <c r="B65" s="16">
        <v>22</v>
      </c>
      <c r="C65" s="4"/>
      <c r="D65" s="66"/>
      <c r="E65" s="66"/>
      <c r="F65" s="66"/>
      <c r="G65" s="67"/>
      <c r="H65" s="67"/>
      <c r="I65" s="70"/>
      <c r="J65" s="70"/>
      <c r="K65" s="5"/>
      <c r="L65" s="3">
        <f t="shared" si="3"/>
        <v>0</v>
      </c>
      <c r="M65" s="17"/>
    </row>
    <row r="66" spans="2:13" ht="15" thickBot="1">
      <c r="B66" s="26">
        <v>23</v>
      </c>
      <c r="C66" s="4"/>
      <c r="D66" s="68"/>
      <c r="E66" s="68"/>
      <c r="F66" s="68"/>
      <c r="G66" s="69"/>
      <c r="H66" s="69"/>
      <c r="I66" s="69"/>
      <c r="J66" s="69"/>
      <c r="K66" s="9"/>
      <c r="L66" s="8">
        <f t="shared" si="3"/>
        <v>0</v>
      </c>
      <c r="M66" s="31"/>
    </row>
    <row r="67" spans="2:13" ht="15" thickBot="1">
      <c r="B67" s="35" t="s">
        <v>48</v>
      </c>
      <c r="C67" s="36">
        <f>SUM(C44:C66)</f>
        <v>10.499999999999998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60" t="s">
        <v>30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0.6</v>
      </c>
      <c r="D70" s="3" t="s">
        <v>146</v>
      </c>
      <c r="E70" s="3" t="s">
        <v>13</v>
      </c>
      <c r="F70" s="3" t="s">
        <v>21</v>
      </c>
      <c r="G70" s="3">
        <v>0.8</v>
      </c>
      <c r="H70" s="6">
        <v>1E-8</v>
      </c>
      <c r="I70" s="3">
        <f t="shared" ref="I70:I76" si="4">SUM(G70)</f>
        <v>0.8</v>
      </c>
      <c r="J70" s="6">
        <f t="shared" ref="J70:J76" si="5">SUM(H70)</f>
        <v>1E-8</v>
      </c>
      <c r="K70" s="5"/>
      <c r="L70" s="3">
        <f t="shared" ref="L70:L76" si="6">IF(K70&gt;=(J70-M70),(IF(K70&lt;=(I70+M70),C70,0)),0)</f>
        <v>0</v>
      </c>
      <c r="M70" s="17"/>
    </row>
    <row r="71" spans="2:13">
      <c r="B71" s="16">
        <v>2</v>
      </c>
      <c r="C71" s="3">
        <v>0.6</v>
      </c>
      <c r="D71" s="3" t="s">
        <v>140</v>
      </c>
      <c r="E71" s="3" t="s">
        <v>13</v>
      </c>
      <c r="F71" s="3" t="s">
        <v>21</v>
      </c>
      <c r="G71" s="3">
        <v>0.8</v>
      </c>
      <c r="H71" s="6">
        <v>1E-8</v>
      </c>
      <c r="I71" s="3">
        <f t="shared" si="4"/>
        <v>0.8</v>
      </c>
      <c r="J71" s="6">
        <f t="shared" si="5"/>
        <v>1E-8</v>
      </c>
      <c r="K71" s="5"/>
      <c r="L71" s="3">
        <f t="shared" si="6"/>
        <v>0</v>
      </c>
      <c r="M71" s="17"/>
    </row>
    <row r="72" spans="2:13">
      <c r="B72" s="16">
        <v>3</v>
      </c>
      <c r="C72" s="3">
        <v>0.6</v>
      </c>
      <c r="D72" s="3" t="s">
        <v>152</v>
      </c>
      <c r="E72" s="3" t="s">
        <v>13</v>
      </c>
      <c r="F72" s="3" t="s">
        <v>21</v>
      </c>
      <c r="G72" s="3">
        <v>0.8</v>
      </c>
      <c r="H72" s="6">
        <v>1E-8</v>
      </c>
      <c r="I72" s="3">
        <f t="shared" si="4"/>
        <v>0.8</v>
      </c>
      <c r="J72" s="6">
        <f t="shared" si="5"/>
        <v>1E-8</v>
      </c>
      <c r="K72" s="5"/>
      <c r="L72" s="3">
        <f t="shared" si="6"/>
        <v>0</v>
      </c>
      <c r="M72" s="17"/>
    </row>
    <row r="73" spans="2:13">
      <c r="B73" s="16">
        <v>4</v>
      </c>
      <c r="C73" s="3">
        <v>0.6</v>
      </c>
      <c r="D73" s="3" t="s">
        <v>153</v>
      </c>
      <c r="E73" s="3" t="s">
        <v>13</v>
      </c>
      <c r="F73" s="3" t="s">
        <v>21</v>
      </c>
      <c r="G73" s="3">
        <v>0.8</v>
      </c>
      <c r="H73" s="6">
        <v>1E-8</v>
      </c>
      <c r="I73" s="3">
        <f t="shared" si="4"/>
        <v>0.8</v>
      </c>
      <c r="J73" s="6">
        <f t="shared" si="5"/>
        <v>1E-8</v>
      </c>
      <c r="K73" s="5"/>
      <c r="L73" s="3">
        <f t="shared" si="6"/>
        <v>0</v>
      </c>
      <c r="M73" s="17"/>
    </row>
    <row r="74" spans="2:13">
      <c r="B74" s="16">
        <v>5</v>
      </c>
      <c r="C74" s="3">
        <v>0.6</v>
      </c>
      <c r="D74" s="3" t="s">
        <v>146</v>
      </c>
      <c r="E74" s="3" t="s">
        <v>13</v>
      </c>
      <c r="F74" s="3" t="s">
        <v>21</v>
      </c>
      <c r="G74" s="3">
        <v>0.8</v>
      </c>
      <c r="H74" s="6">
        <v>1E-8</v>
      </c>
      <c r="I74" s="3">
        <f t="shared" si="4"/>
        <v>0.8</v>
      </c>
      <c r="J74" s="6">
        <f t="shared" si="5"/>
        <v>1E-8</v>
      </c>
      <c r="K74" s="5"/>
      <c r="L74" s="3">
        <f t="shared" si="6"/>
        <v>0</v>
      </c>
      <c r="M74" s="17"/>
    </row>
    <row r="75" spans="2:13">
      <c r="B75" s="16">
        <v>6</v>
      </c>
      <c r="C75" s="3">
        <v>0.6</v>
      </c>
      <c r="D75" s="3" t="s">
        <v>154</v>
      </c>
      <c r="E75" s="3" t="s">
        <v>13</v>
      </c>
      <c r="F75" s="3" t="s">
        <v>21</v>
      </c>
      <c r="G75" s="3">
        <v>0.8</v>
      </c>
      <c r="H75" s="6">
        <v>1E-8</v>
      </c>
      <c r="I75" s="3">
        <f t="shared" si="4"/>
        <v>0.8</v>
      </c>
      <c r="J75" s="6">
        <f t="shared" si="5"/>
        <v>1E-8</v>
      </c>
      <c r="K75" s="5"/>
      <c r="L75" s="3">
        <f t="shared" si="6"/>
        <v>0</v>
      </c>
      <c r="M75" s="17"/>
    </row>
    <row r="76" spans="2:13">
      <c r="B76" s="16">
        <v>7</v>
      </c>
      <c r="C76" s="3">
        <v>0.45</v>
      </c>
      <c r="D76" s="3" t="s">
        <v>155</v>
      </c>
      <c r="E76" s="3" t="s">
        <v>13</v>
      </c>
      <c r="F76" s="3" t="s">
        <v>21</v>
      </c>
      <c r="G76" s="3">
        <v>0.8</v>
      </c>
      <c r="H76" s="6">
        <v>1E-8</v>
      </c>
      <c r="I76" s="3">
        <f t="shared" si="4"/>
        <v>0.8</v>
      </c>
      <c r="J76" s="6">
        <f t="shared" si="5"/>
        <v>1E-8</v>
      </c>
      <c r="K76" s="5"/>
      <c r="L76" s="3">
        <f t="shared" si="6"/>
        <v>0</v>
      </c>
      <c r="M76" s="17"/>
    </row>
    <row r="77" spans="2:13" ht="15" thickBot="1">
      <c r="B77" s="26">
        <v>8</v>
      </c>
      <c r="C77" s="3">
        <v>0.45</v>
      </c>
      <c r="D77" s="3" t="s">
        <v>156</v>
      </c>
      <c r="E77" s="3" t="s">
        <v>13</v>
      </c>
      <c r="F77" s="3" t="s">
        <v>21</v>
      </c>
      <c r="G77" s="3">
        <v>0.8</v>
      </c>
      <c r="H77" s="6">
        <v>1E-8</v>
      </c>
      <c r="I77" s="3">
        <f>SUM(G77)</f>
        <v>0.8</v>
      </c>
      <c r="J77" s="6">
        <f>SUM(H77)</f>
        <v>1E-8</v>
      </c>
      <c r="K77" s="5"/>
      <c r="L77" s="3"/>
      <c r="M77" s="31"/>
    </row>
    <row r="78" spans="2:13" ht="15" thickBot="1">
      <c r="B78" s="35" t="s">
        <v>49</v>
      </c>
      <c r="C78" s="36">
        <v>4.5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31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1.5</v>
      </c>
      <c r="D82" s="112" t="s">
        <v>23</v>
      </c>
      <c r="E82" s="124"/>
      <c r="F82" s="125"/>
      <c r="G82" s="5"/>
      <c r="H82" s="5"/>
      <c r="I82" s="5"/>
      <c r="J82" s="5"/>
      <c r="K82" s="5"/>
      <c r="L82" s="3">
        <f t="shared" ref="L82:L87" si="7">SUM(C82*(W82-V82-U82)/30)</f>
        <v>0</v>
      </c>
      <c r="M82" s="17"/>
      <c r="O82">
        <f>SUM(10-G82)</f>
        <v>10</v>
      </c>
      <c r="P82">
        <f>SUM(10-H82)</f>
        <v>10</v>
      </c>
      <c r="Q82">
        <f t="shared" ref="Q82:S87" si="8">SUM(10-I82)</f>
        <v>10</v>
      </c>
      <c r="R82">
        <f t="shared" si="8"/>
        <v>10</v>
      </c>
      <c r="S82">
        <f t="shared" si="8"/>
        <v>10</v>
      </c>
      <c r="T82">
        <f t="shared" ref="T82:T87" si="9">MAX(O82:S82)</f>
        <v>10</v>
      </c>
      <c r="U82">
        <f t="shared" ref="U82:U87" si="10">SUM(10-T82)</f>
        <v>0</v>
      </c>
      <c r="V82">
        <f t="shared" ref="V82:V87" si="11">MAX(G82:K82)</f>
        <v>0</v>
      </c>
      <c r="W82">
        <f t="shared" ref="W82:W87" si="12">SUM(G82:K82)</f>
        <v>0</v>
      </c>
    </row>
    <row r="83" spans="2:23">
      <c r="B83" s="16">
        <v>2</v>
      </c>
      <c r="C83" s="3">
        <v>0.5</v>
      </c>
      <c r="D83" s="112" t="s">
        <v>24</v>
      </c>
      <c r="E83" s="124"/>
      <c r="F83" s="125"/>
      <c r="G83" s="5"/>
      <c r="H83" s="5"/>
      <c r="I83" s="5"/>
      <c r="J83" s="5"/>
      <c r="K83" s="5"/>
      <c r="L83" s="3">
        <f t="shared" si="7"/>
        <v>0</v>
      </c>
      <c r="M83" s="17"/>
      <c r="O83">
        <f t="shared" ref="O83:P87" si="13">SUM(10-G83)</f>
        <v>10</v>
      </c>
      <c r="P83">
        <f t="shared" si="13"/>
        <v>10</v>
      </c>
      <c r="Q83">
        <f t="shared" si="8"/>
        <v>10</v>
      </c>
      <c r="R83">
        <f t="shared" si="8"/>
        <v>10</v>
      </c>
      <c r="S83">
        <f t="shared" si="8"/>
        <v>10</v>
      </c>
      <c r="T83">
        <f t="shared" si="9"/>
        <v>10</v>
      </c>
      <c r="U83">
        <f t="shared" si="10"/>
        <v>0</v>
      </c>
      <c r="V83">
        <f t="shared" si="11"/>
        <v>0</v>
      </c>
      <c r="W83">
        <f t="shared" si="12"/>
        <v>0</v>
      </c>
    </row>
    <row r="84" spans="2:23">
      <c r="B84" s="16">
        <v>3</v>
      </c>
      <c r="C84" s="3">
        <v>1</v>
      </c>
      <c r="D84" s="112" t="s">
        <v>25</v>
      </c>
      <c r="E84" s="124"/>
      <c r="F84" s="125"/>
      <c r="G84" s="5"/>
      <c r="H84" s="5"/>
      <c r="I84" s="5"/>
      <c r="J84" s="5"/>
      <c r="K84" s="5"/>
      <c r="L84" s="3">
        <f t="shared" si="7"/>
        <v>0</v>
      </c>
      <c r="M84" s="17"/>
      <c r="O84">
        <f t="shared" si="13"/>
        <v>10</v>
      </c>
      <c r="P84">
        <f t="shared" si="13"/>
        <v>10</v>
      </c>
      <c r="Q84">
        <f t="shared" si="8"/>
        <v>10</v>
      </c>
      <c r="R84">
        <f t="shared" si="8"/>
        <v>10</v>
      </c>
      <c r="S84">
        <f t="shared" si="8"/>
        <v>10</v>
      </c>
      <c r="T84">
        <f t="shared" si="9"/>
        <v>10</v>
      </c>
      <c r="U84">
        <f t="shared" si="10"/>
        <v>0</v>
      </c>
      <c r="V84">
        <f t="shared" si="11"/>
        <v>0</v>
      </c>
      <c r="W84">
        <f t="shared" si="12"/>
        <v>0</v>
      </c>
    </row>
    <row r="85" spans="2:23">
      <c r="B85" s="16">
        <v>4</v>
      </c>
      <c r="C85" s="3">
        <v>1</v>
      </c>
      <c r="D85" s="112" t="s">
        <v>26</v>
      </c>
      <c r="E85" s="124"/>
      <c r="F85" s="125"/>
      <c r="G85" s="5"/>
      <c r="H85" s="5"/>
      <c r="I85" s="5"/>
      <c r="J85" s="5"/>
      <c r="K85" s="5"/>
      <c r="L85" s="3">
        <f t="shared" si="7"/>
        <v>0</v>
      </c>
      <c r="M85" s="17"/>
      <c r="O85">
        <f t="shared" si="13"/>
        <v>10</v>
      </c>
      <c r="P85">
        <f t="shared" si="13"/>
        <v>10</v>
      </c>
      <c r="Q85">
        <f t="shared" si="8"/>
        <v>10</v>
      </c>
      <c r="R85">
        <f t="shared" si="8"/>
        <v>10</v>
      </c>
      <c r="S85">
        <f t="shared" si="8"/>
        <v>10</v>
      </c>
      <c r="T85">
        <f t="shared" si="9"/>
        <v>10</v>
      </c>
      <c r="U85">
        <f t="shared" si="10"/>
        <v>0</v>
      </c>
      <c r="V85">
        <f t="shared" si="11"/>
        <v>0</v>
      </c>
      <c r="W85">
        <f t="shared" si="12"/>
        <v>0</v>
      </c>
    </row>
    <row r="86" spans="2:23">
      <c r="B86" s="22">
        <v>5</v>
      </c>
      <c r="C86" s="3">
        <v>1</v>
      </c>
      <c r="D86" s="112" t="s">
        <v>27</v>
      </c>
      <c r="E86" s="113"/>
      <c r="F86" s="114"/>
      <c r="G86" s="5"/>
      <c r="H86" s="5"/>
      <c r="I86" s="5"/>
      <c r="J86" s="5"/>
      <c r="K86" s="5"/>
      <c r="L86" s="3">
        <f t="shared" si="7"/>
        <v>0</v>
      </c>
      <c r="M86" s="17"/>
      <c r="O86">
        <f t="shared" si="13"/>
        <v>10</v>
      </c>
      <c r="P86">
        <f t="shared" si="13"/>
        <v>10</v>
      </c>
      <c r="Q86">
        <f t="shared" si="8"/>
        <v>10</v>
      </c>
      <c r="R86">
        <f t="shared" si="8"/>
        <v>10</v>
      </c>
      <c r="S86">
        <f t="shared" si="8"/>
        <v>10</v>
      </c>
      <c r="T86">
        <f t="shared" si="9"/>
        <v>10</v>
      </c>
      <c r="U86">
        <f t="shared" si="10"/>
        <v>0</v>
      </c>
      <c r="V86">
        <f t="shared" si="11"/>
        <v>0</v>
      </c>
      <c r="W86">
        <f t="shared" si="12"/>
        <v>0</v>
      </c>
    </row>
    <row r="87" spans="2:23">
      <c r="B87" s="22">
        <v>6</v>
      </c>
      <c r="C87" s="3"/>
      <c r="D87" s="123"/>
      <c r="E87" s="124"/>
      <c r="F87" s="125"/>
      <c r="G87" s="9"/>
      <c r="H87" s="9"/>
      <c r="I87" s="9"/>
      <c r="J87" s="9"/>
      <c r="K87" s="9"/>
      <c r="L87" s="3">
        <f t="shared" si="7"/>
        <v>0</v>
      </c>
      <c r="M87" s="17"/>
      <c r="O87">
        <f t="shared" si="13"/>
        <v>10</v>
      </c>
      <c r="P87">
        <f t="shared" si="13"/>
        <v>10</v>
      </c>
      <c r="Q87">
        <f t="shared" si="8"/>
        <v>10</v>
      </c>
      <c r="R87">
        <f t="shared" si="8"/>
        <v>10</v>
      </c>
      <c r="S87">
        <f t="shared" si="8"/>
        <v>10</v>
      </c>
      <c r="T87">
        <f t="shared" si="9"/>
        <v>10</v>
      </c>
      <c r="U87">
        <f t="shared" si="10"/>
        <v>0</v>
      </c>
      <c r="V87">
        <f t="shared" si="11"/>
        <v>0</v>
      </c>
      <c r="W87">
        <f t="shared" si="12"/>
        <v>0</v>
      </c>
    </row>
    <row r="88" spans="2:23">
      <c r="B88" s="22"/>
      <c r="C88" s="3"/>
      <c r="D88" s="139"/>
      <c r="E88" s="71"/>
      <c r="F88" s="71"/>
      <c r="G88" s="131" t="s">
        <v>50</v>
      </c>
      <c r="H88" s="131" t="s">
        <v>50</v>
      </c>
      <c r="I88" s="131" t="s">
        <v>50</v>
      </c>
      <c r="J88" s="131" t="s">
        <v>50</v>
      </c>
      <c r="K88" s="131" t="s">
        <v>51</v>
      </c>
      <c r="L88" s="3"/>
      <c r="M88" s="17"/>
    </row>
    <row r="89" spans="2:23">
      <c r="B89" s="22"/>
      <c r="C89" s="3"/>
      <c r="D89" s="71"/>
      <c r="E89" s="71"/>
      <c r="F89" s="71"/>
      <c r="G89" s="132"/>
      <c r="H89" s="132"/>
      <c r="I89" s="132"/>
      <c r="J89" s="132"/>
      <c r="K89" s="132"/>
      <c r="L89" s="3"/>
      <c r="M89" s="18"/>
    </row>
    <row r="90" spans="2:23">
      <c r="B90" s="22"/>
      <c r="C90" s="3"/>
      <c r="D90" s="71"/>
      <c r="E90" s="71"/>
      <c r="F90" s="71"/>
      <c r="G90" s="132"/>
      <c r="H90" s="132"/>
      <c r="I90" s="132"/>
      <c r="J90" s="132"/>
      <c r="K90" s="132"/>
      <c r="L90" s="3"/>
      <c r="M90" s="18"/>
    </row>
    <row r="91" spans="2:23">
      <c r="B91" s="22"/>
      <c r="C91" s="3"/>
      <c r="D91" s="71"/>
      <c r="E91" s="71"/>
      <c r="F91" s="71"/>
      <c r="G91" s="132"/>
      <c r="H91" s="132"/>
      <c r="I91" s="132"/>
      <c r="J91" s="132"/>
      <c r="K91" s="132"/>
      <c r="L91" s="3"/>
      <c r="M91" s="18"/>
    </row>
    <row r="92" spans="2:23">
      <c r="B92" s="22"/>
      <c r="C92" s="3"/>
      <c r="D92" s="71"/>
      <c r="E92" s="71"/>
      <c r="F92" s="71"/>
      <c r="G92" s="132"/>
      <c r="H92" s="132"/>
      <c r="I92" s="132"/>
      <c r="J92" s="132"/>
      <c r="K92" s="132"/>
      <c r="L92" s="3"/>
      <c r="M92" s="18"/>
    </row>
    <row r="93" spans="2:23" ht="15" thickBot="1">
      <c r="B93" s="28"/>
      <c r="C93" s="8"/>
      <c r="D93" s="140"/>
      <c r="E93" s="140"/>
      <c r="F93" s="140"/>
      <c r="G93" s="133"/>
      <c r="H93" s="133"/>
      <c r="I93" s="133"/>
      <c r="J93" s="133"/>
      <c r="K93" s="133"/>
      <c r="L93" s="8"/>
      <c r="M93" s="40"/>
    </row>
    <row r="94" spans="2:23" ht="15" thickBot="1">
      <c r="B94" s="41" t="s">
        <v>48</v>
      </c>
      <c r="C94" s="39">
        <v>5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32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5" thickBot="1">
      <c r="B97" s="26">
        <v>1</v>
      </c>
      <c r="C97" s="8">
        <v>3</v>
      </c>
      <c r="D97" s="145" t="s">
        <v>33</v>
      </c>
      <c r="E97" s="146"/>
      <c r="F97" s="147"/>
      <c r="G97" s="8"/>
      <c r="H97" s="8"/>
      <c r="I97" s="8"/>
      <c r="J97" s="8"/>
      <c r="K97" s="9"/>
      <c r="L97" s="8">
        <f>IF(K97=0,C97,(K97-1)*(-C97))</f>
        <v>3</v>
      </c>
      <c r="M97" s="31"/>
    </row>
    <row r="98" spans="2:13" s="13" customFormat="1" ht="15" thickBot="1">
      <c r="B98" s="43" t="s">
        <v>48</v>
      </c>
      <c r="C98" s="39">
        <f>SUM(C97)</f>
        <v>3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3</v>
      </c>
      <c r="M98" s="42"/>
    </row>
    <row r="99" spans="2:13" s="13" customFormat="1" ht="15" thickBot="1">
      <c r="B99" s="11"/>
      <c r="C99" s="11"/>
      <c r="G99" s="14"/>
      <c r="H99" s="14"/>
      <c r="I99" s="14"/>
      <c r="J99" s="14"/>
      <c r="K99" s="14"/>
      <c r="L99" s="11"/>
    </row>
    <row r="100" spans="2:13" ht="15" thickBot="1">
      <c r="B100" s="43"/>
      <c r="C100" s="39"/>
      <c r="D100" s="128"/>
      <c r="E100" s="138"/>
      <c r="F100" s="138"/>
      <c r="G100" s="138"/>
      <c r="H100" s="138"/>
      <c r="I100" s="129"/>
      <c r="J100" s="128" t="s">
        <v>34</v>
      </c>
      <c r="K100" s="129"/>
      <c r="L100" s="128" t="s">
        <v>35</v>
      </c>
      <c r="M100" s="130"/>
    </row>
    <row r="101" spans="2:13">
      <c r="B101" s="27"/>
      <c r="C101" s="12"/>
      <c r="D101" s="115" t="s">
        <v>36</v>
      </c>
      <c r="E101" s="116"/>
      <c r="F101" s="116"/>
      <c r="G101" s="116"/>
      <c r="H101" s="116"/>
      <c r="I101" s="117"/>
      <c r="J101" s="121"/>
      <c r="K101" s="136"/>
      <c r="L101" s="121"/>
      <c r="M101" s="122"/>
    </row>
    <row r="102" spans="2:13">
      <c r="B102" s="16"/>
      <c r="C102" s="3"/>
      <c r="D102" s="118" t="s">
        <v>37</v>
      </c>
      <c r="E102" s="119"/>
      <c r="F102" s="119"/>
      <c r="G102" s="119"/>
      <c r="H102" s="119"/>
      <c r="I102" s="120"/>
      <c r="J102" s="134"/>
      <c r="K102" s="137"/>
      <c r="L102" s="134"/>
      <c r="M102" s="135"/>
    </row>
    <row r="103" spans="2:13">
      <c r="B103" s="16"/>
      <c r="C103" s="3"/>
      <c r="D103" s="118" t="s">
        <v>38</v>
      </c>
      <c r="E103" s="119"/>
      <c r="F103" s="119"/>
      <c r="G103" s="119"/>
      <c r="H103" s="119"/>
      <c r="I103" s="120"/>
      <c r="J103" s="134"/>
      <c r="K103" s="137"/>
      <c r="L103" s="134"/>
      <c r="M103" s="135"/>
    </row>
    <row r="104" spans="2:13" ht="15" thickBot="1">
      <c r="B104" s="20"/>
      <c r="C104" s="21"/>
      <c r="D104" s="142" t="s">
        <v>39</v>
      </c>
      <c r="E104" s="143"/>
      <c r="F104" s="143"/>
      <c r="G104" s="143"/>
      <c r="H104" s="143"/>
      <c r="I104" s="144"/>
      <c r="J104" s="126"/>
      <c r="K104" s="141"/>
      <c r="L104" s="126"/>
      <c r="M104" s="127"/>
    </row>
  </sheetData>
  <protectedRanges>
    <protectedRange sqref="K97" name="区域5"/>
    <protectedRange sqref="G82:K93" name="区域4"/>
    <protectedRange sqref="K70:K77" name="区域3"/>
    <protectedRange sqref="K44:K66" name="区域2"/>
    <protectedRange sqref="K8:K35" name="区域1"/>
  </protectedRanges>
  <mergeCells count="39">
    <mergeCell ref="D85:F85"/>
    <mergeCell ref="D86:F86"/>
    <mergeCell ref="J88:J93"/>
    <mergeCell ref="G4:H4"/>
    <mergeCell ref="D83:F83"/>
    <mergeCell ref="D84:F84"/>
    <mergeCell ref="D87:F87"/>
    <mergeCell ref="B4:D4"/>
    <mergeCell ref="E4:F4"/>
    <mergeCell ref="G88:G93"/>
    <mergeCell ref="B1:M2"/>
    <mergeCell ref="B3:D3"/>
    <mergeCell ref="E3:F3"/>
    <mergeCell ref="G3:H3"/>
    <mergeCell ref="I3:J3"/>
    <mergeCell ref="L3:M3"/>
    <mergeCell ref="D88:F93"/>
    <mergeCell ref="K88:K93"/>
    <mergeCell ref="D82:F82"/>
    <mergeCell ref="J104:K104"/>
    <mergeCell ref="L101:M101"/>
    <mergeCell ref="D97:F97"/>
    <mergeCell ref="D101:I101"/>
    <mergeCell ref="I88:I93"/>
    <mergeCell ref="J101:K101"/>
    <mergeCell ref="H88:H93"/>
    <mergeCell ref="D100:I100"/>
    <mergeCell ref="J100:K100"/>
    <mergeCell ref="L100:M100"/>
    <mergeCell ref="D104:I104"/>
    <mergeCell ref="I4:J4"/>
    <mergeCell ref="L4:M4"/>
    <mergeCell ref="L104:M104"/>
    <mergeCell ref="D102:I102"/>
    <mergeCell ref="J102:K102"/>
    <mergeCell ref="L102:M102"/>
    <mergeCell ref="D103:I103"/>
    <mergeCell ref="J103:K103"/>
    <mergeCell ref="L103:M10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ROMER</cp:lastModifiedBy>
  <cp:lastPrinted>2013-12-23T15:38:43Z</cp:lastPrinted>
  <dcterms:created xsi:type="dcterms:W3CDTF">2013-12-23T13:02:11Z</dcterms:created>
  <dcterms:modified xsi:type="dcterms:W3CDTF">2014-05-24T03:18:26Z</dcterms:modified>
</cp:coreProperties>
</file>