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8840" activeTab="2"/>
  </bookViews>
  <sheets>
    <sheet name="成绩单" sheetId="1" r:id="rId1"/>
    <sheet name="MOD1-评分表" sheetId="2" r:id="rId2"/>
    <sheet name="MOD2-评分表" sheetId="3" r:id="rId3"/>
  </sheets>
  <definedNames>
    <definedName name="_xlnm.Print_Area" localSheetId="0">成绩单!$A$1:L47</definedName>
    <definedName name="_xlnm.Print_Area" localSheetId="1">'MOD1-评分表'!$B$1:M104</definedName>
    <definedName name="_xlnm.Print_Area" localSheetId="2">'MOD2-评分表'!$B$1:M96</definedName>
  </definedNames>
  <calcPr calcId="144525"/>
</workbook>
</file>

<file path=xl/sharedStrings.xml><?xml version="1.0" encoding="utf-8"?>
<sst xmlns="http://schemas.openxmlformats.org/spreadsheetml/2006/main" count="125">
  <si>
    <t>2014年中国技能大赛—第43届世界技能大赛数控铣项目全国选拔赛样题评分汇总表</t>
  </si>
  <si>
    <t>单位（学校）</t>
  </si>
  <si>
    <t>选手编号</t>
  </si>
  <si>
    <t>选手姓名</t>
  </si>
  <si>
    <t>评判项目编码</t>
  </si>
  <si>
    <t>评判项目</t>
  </si>
  <si>
    <t>分模块成绩</t>
  </si>
  <si>
    <t>成绩统计</t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</si>
  <si>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1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</si>
  <si>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2</t>
    </r>
  </si>
  <si>
    <r>
      <rPr>
        <sz val="10"/>
        <rFont val="宋体"/>
        <charset val="134"/>
      </rPr>
      <t>模块</t>
    </r>
    <r>
      <rPr>
        <sz val="10"/>
        <rFont val="Arial"/>
        <family val="2"/>
        <charset val="134"/>
      </rPr>
      <t>3</t>
    </r>
  </si>
  <si>
    <t>A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</si>
  <si>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主要尺寸</t>
    </r>
  </si>
  <si>
    <t>配分</t>
  </si>
  <si>
    <t>实际得分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</si>
  <si>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</si>
  <si>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3-主要尺寸</t>
    </r>
  </si>
  <si>
    <t>B</t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</si>
  <si>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</si>
  <si>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2-次要尺寸</t>
    </r>
  </si>
  <si>
    <r>
      <rPr>
        <sz val="8"/>
        <rFont val="Arial"/>
        <family val="2"/>
        <charset val="134"/>
      </rPr>
      <t xml:space="preserve">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3-次要尺寸</t>
    </r>
  </si>
  <si>
    <t>C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</si>
  <si>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</si>
  <si>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2-表面质量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</si>
  <si>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3-表面质量</t>
    </r>
  </si>
  <si>
    <t>D</t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</si>
  <si>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</si>
  <si>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2-主观评判</t>
    </r>
  </si>
  <si>
    <r>
      <rPr>
        <sz val="8"/>
        <rFont val="Arial"/>
        <family val="2"/>
        <charset val="134"/>
      </rPr>
      <t xml:space="preserve">  </t>
    </r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3-主观评判</t>
    </r>
  </si>
  <si>
    <t>E</t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</si>
  <si>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1-</t>
    </r>
    <r>
      <rPr>
        <sz val="8"/>
        <rFont val="宋体"/>
        <charset val="134"/>
      </rPr>
      <t>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</si>
  <si>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2-是否增加毛坯</t>
    </r>
  </si>
  <si>
    <r>
      <rPr>
        <sz val="8"/>
        <rFont val="宋体"/>
        <charset val="134"/>
      </rPr>
      <t>模块</t>
    </r>
    <r>
      <rPr>
        <sz val="8"/>
        <rFont val="Arial"/>
        <family val="2"/>
        <charset val="134"/>
      </rPr>
      <t>3-是否增加毛坯</t>
    </r>
  </si>
  <si>
    <t>总成绩</t>
  </si>
  <si>
    <t>选手指导签名</t>
  </si>
  <si>
    <t>裁判长签名</t>
  </si>
  <si>
    <t>2014年中国技能大赛—第43届世界技能大赛数控铣项目全国选拔赛MOD1样题评分表</t>
  </si>
  <si>
    <t>试题图号</t>
  </si>
  <si>
    <t>MOD1</t>
  </si>
  <si>
    <t>成绩小计</t>
  </si>
  <si>
    <t>序号</t>
  </si>
  <si>
    <t>方位</t>
  </si>
  <si>
    <t>尺寸类型</t>
  </si>
  <si>
    <t>公称尺寸</t>
  </si>
  <si>
    <t>上偏差</t>
  </si>
  <si>
    <t>下偏差</t>
  </si>
  <si>
    <t>上极限尺寸</t>
  </si>
  <si>
    <t>下极限尺寸</t>
  </si>
  <si>
    <t>实际尺寸</t>
  </si>
  <si>
    <t>得分</t>
  </si>
  <si>
    <t>偏差</t>
  </si>
  <si>
    <r>
      <rPr>
        <sz val="8"/>
        <rFont val="Arial"/>
        <family val="2"/>
        <charset val="134"/>
      </rPr>
      <t>A-</t>
    </r>
    <r>
      <rPr>
        <sz val="8"/>
        <rFont val="宋体"/>
        <charset val="134"/>
      </rPr>
      <t>主要尺寸</t>
    </r>
  </si>
  <si>
    <t>允差</t>
  </si>
  <si>
    <t>B2</t>
  </si>
  <si>
    <t>长度</t>
  </si>
  <si>
    <t>A4</t>
  </si>
  <si>
    <t>A5</t>
  </si>
  <si>
    <t>C3</t>
  </si>
  <si>
    <t>C2</t>
  </si>
  <si>
    <t>D3</t>
  </si>
  <si>
    <t>直径</t>
  </si>
  <si>
    <t>D4</t>
  </si>
  <si>
    <t>D5</t>
  </si>
  <si>
    <t>E5</t>
  </si>
  <si>
    <t>B4</t>
  </si>
  <si>
    <t>F3</t>
  </si>
  <si>
    <t>E6</t>
  </si>
  <si>
    <t>B6</t>
  </si>
  <si>
    <t>B7</t>
  </si>
  <si>
    <t>平行度</t>
  </si>
  <si>
    <t>C8</t>
  </si>
  <si>
    <t>D8</t>
  </si>
  <si>
    <t>D9</t>
  </si>
  <si>
    <t>C10</t>
  </si>
  <si>
    <t>C9</t>
  </si>
  <si>
    <t>小计</t>
  </si>
  <si>
    <r>
      <rPr>
        <sz val="8"/>
        <rFont val="Arial"/>
        <family val="2"/>
        <charset val="134"/>
      </rPr>
      <t>B-</t>
    </r>
    <r>
      <rPr>
        <sz val="8"/>
        <rFont val="宋体"/>
        <charset val="134"/>
      </rPr>
      <t>次要尺寸</t>
    </r>
  </si>
  <si>
    <t>螺纹</t>
  </si>
  <si>
    <t>M30X1.5/14+2</t>
  </si>
  <si>
    <t>OK</t>
  </si>
  <si>
    <t>NO</t>
  </si>
  <si>
    <t>M10/12+2</t>
  </si>
  <si>
    <t>D1</t>
  </si>
  <si>
    <t>E2</t>
  </si>
  <si>
    <t>B3</t>
  </si>
  <si>
    <t>A3</t>
  </si>
  <si>
    <t>C5</t>
  </si>
  <si>
    <t>C4</t>
  </si>
  <si>
    <t>E3</t>
  </si>
  <si>
    <t>D6</t>
  </si>
  <si>
    <t>D7</t>
  </si>
  <si>
    <r>
      <rPr>
        <sz val="8"/>
        <rFont val="Arial"/>
        <family val="2"/>
        <charset val="134"/>
      </rPr>
      <t>C-</t>
    </r>
    <r>
      <rPr>
        <sz val="8"/>
        <rFont val="宋体"/>
        <charset val="134"/>
      </rPr>
      <t>表面质量</t>
    </r>
  </si>
  <si>
    <t>表面质量</t>
  </si>
  <si>
    <t>Ra 0.8</t>
  </si>
  <si>
    <r>
      <rPr>
        <sz val="8"/>
        <rFont val="Arial"/>
        <family val="2"/>
        <charset val="134"/>
      </rPr>
      <t>D-</t>
    </r>
    <r>
      <rPr>
        <sz val="8"/>
        <rFont val="宋体"/>
        <charset val="134"/>
      </rPr>
      <t>主观评判</t>
    </r>
  </si>
  <si>
    <t>机床（加工）倒角</t>
  </si>
  <si>
    <t>手工倒角</t>
  </si>
  <si>
    <t>轮廓损伤</t>
  </si>
  <si>
    <t>第一面与图纸相符程度</t>
  </si>
  <si>
    <t>第二面与图纸相符程度</t>
  </si>
  <si>
    <t>裁判签字</t>
  </si>
  <si>
    <r>
      <rPr>
        <sz val="8"/>
        <rFont val="Arial"/>
        <family val="2"/>
        <charset val="134"/>
      </rPr>
      <t>E-</t>
    </r>
    <r>
      <rPr>
        <sz val="8"/>
        <rFont val="宋体"/>
        <charset val="134"/>
      </rPr>
      <t>增加毛坯</t>
    </r>
  </si>
  <si>
    <t>是否更换增加毛坯</t>
  </si>
  <si>
    <t>签名</t>
  </si>
  <si>
    <t>日期</t>
  </si>
  <si>
    <t>裁判员1</t>
  </si>
  <si>
    <t>裁判员2</t>
  </si>
  <si>
    <t>裁判员3</t>
  </si>
  <si>
    <t>裁判长</t>
  </si>
  <si>
    <t>2014年中国技能大赛—第43届世界技能大赛数控铣项目全国选拔赛MOD2样题评分表</t>
  </si>
  <si>
    <t>MOD2</t>
  </si>
  <si>
    <t>修正值</t>
  </si>
  <si>
    <t>C1</t>
  </si>
  <si>
    <t>D10</t>
  </si>
  <si>
    <t>E8</t>
  </si>
  <si>
    <t>E7</t>
  </si>
  <si>
    <t>D2</t>
  </si>
  <si>
    <t>E10</t>
  </si>
  <si>
    <t>E9</t>
  </si>
  <si>
    <t>M30X1.5</t>
  </si>
  <si>
    <t>E4</t>
  </si>
  <si>
    <t>M6/10+2</t>
  </si>
  <si>
    <t>M6/8+2</t>
  </si>
  <si>
    <t>B5</t>
  </si>
  <si>
    <t>C6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</si>
</sst>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176" formatCode="0.00_ "/>
  </numFmts>
  <fonts count="10">
    <font>
      <sz val="11"/>
      <color indexed="8"/>
      <name val="宋体"/>
      <charset val="134"/>
    </font>
    <font>
      <sz val="12"/>
      <name val="宋体"/>
      <charset val="134"/>
    </font>
    <font>
      <b/>
      <sz val="12"/>
      <color indexed="8"/>
      <name val="宋体-18030"/>
      <family val="3"/>
      <charset val="134"/>
    </font>
    <font>
      <sz val="8"/>
      <name val="Arial"/>
      <family val="2"/>
      <charset val="134"/>
    </font>
    <font>
      <sz val="8"/>
      <name val="宋体"/>
      <charset val="134"/>
    </font>
    <font>
      <sz val="10"/>
      <name val="宋体"/>
      <charset val="134"/>
    </font>
    <font>
      <sz val="10"/>
      <name val="Arial"/>
      <family val="2"/>
      <charset val="134"/>
    </font>
    <font>
      <sz val="9"/>
      <name val="Arial"/>
      <family val="2"/>
      <charset val="134"/>
    </font>
    <font>
      <sz val="6"/>
      <name val="宋体"/>
      <charset val="134"/>
    </font>
    <font>
      <sz val="6"/>
      <name val="Arial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13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136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2" borderId="15" xfId="0" applyFont="1" applyFill="1" applyBorder="1" applyAlignment="1">
      <alignment vertical="center"/>
    </xf>
    <xf numFmtId="0" fontId="3" fillId="2" borderId="16" xfId="0" applyFont="1" applyFill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1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2" borderId="28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76" fontId="3" fillId="0" borderId="1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top"/>
    </xf>
    <xf numFmtId="0" fontId="3" fillId="0" borderId="18" xfId="0" applyFont="1" applyBorder="1" applyAlignment="1">
      <alignment horizontal="center" vertical="top"/>
    </xf>
    <xf numFmtId="0" fontId="3" fillId="0" borderId="3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top"/>
    </xf>
    <xf numFmtId="0" fontId="3" fillId="0" borderId="19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41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0" fontId="3" fillId="0" borderId="6" xfId="0" applyFont="1" applyBorder="1" applyAlignment="1">
      <alignment horizontal="right" vertical="center"/>
    </xf>
    <xf numFmtId="0" fontId="3" fillId="0" borderId="42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3" fillId="0" borderId="10" xfId="0" applyFont="1" applyBorder="1" applyAlignment="1">
      <alignment horizontal="right" vertical="center"/>
    </xf>
    <xf numFmtId="0" fontId="0" fillId="0" borderId="24" xfId="0" applyBorder="1">
      <alignment vertical="center"/>
    </xf>
    <xf numFmtId="0" fontId="0" fillId="0" borderId="31" xfId="0" applyBorder="1">
      <alignment vertical="center"/>
    </xf>
    <xf numFmtId="0" fontId="0" fillId="0" borderId="29" xfId="0" applyBorder="1">
      <alignment vertic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right" vertical="center"/>
    </xf>
    <xf numFmtId="0" fontId="3" fillId="2" borderId="41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righ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6" xfId="0" applyBorder="1">
      <alignment vertical="center"/>
    </xf>
    <xf numFmtId="0" fontId="2" fillId="3" borderId="18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5" fillId="0" borderId="18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4" fillId="0" borderId="0" xfId="0" applyFont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34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0" fillId="0" borderId="22" xfId="0" applyBorder="1">
      <alignment vertical="center"/>
    </xf>
    <xf numFmtId="0" fontId="0" fillId="0" borderId="49" xfId="0" applyBorder="1">
      <alignment vertical="center"/>
    </xf>
    <xf numFmtId="0" fontId="0" fillId="3" borderId="8" xfId="0" applyFill="1" applyBorder="1" applyAlignment="1">
      <alignment horizontal="left" vertical="center"/>
    </xf>
    <xf numFmtId="0" fontId="0" fillId="3" borderId="6" xfId="0" applyFill="1" applyBorder="1" applyAlignment="1">
      <alignment horizontal="left" vertical="center"/>
    </xf>
    <xf numFmtId="0" fontId="0" fillId="3" borderId="7" xfId="0" applyFill="1" applyBorder="1" applyAlignment="1">
      <alignment horizontal="left" vertical="center"/>
    </xf>
    <xf numFmtId="0" fontId="9" fillId="0" borderId="0" xfId="0" applyFont="1" applyBorder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34" xfId="0" applyFill="1" applyBorder="1" applyAlignment="1">
      <alignment horizontal="center"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0" fillId="0" borderId="50" xfId="0" applyBorder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47"/>
  <sheetViews>
    <sheetView topLeftCell="A2" workbookViewId="0">
      <selection activeCell="M5" sqref="M5"/>
    </sheetView>
  </sheetViews>
  <sheetFormatPr defaultColWidth="9" defaultRowHeight="13.5"/>
  <cols>
    <col min="1" max="1" width="2.625" customWidth="1"/>
    <col min="2" max="2" width="5.875" customWidth="1"/>
    <col min="3" max="3" width="5" customWidth="1"/>
    <col min="4" max="4" width="1.125" customWidth="1"/>
    <col min="5" max="5" width="13" customWidth="1"/>
    <col min="6" max="6" width="10.625" customWidth="1"/>
    <col min="12" max="12" width="2.625" customWidth="1"/>
  </cols>
  <sheetData>
    <row r="1" spans="1:12">
      <c r="A1" s="98"/>
      <c r="B1" s="99"/>
      <c r="C1" s="99"/>
      <c r="D1" s="99"/>
      <c r="E1" s="99"/>
      <c r="F1" s="99"/>
      <c r="G1" s="99"/>
      <c r="H1" s="99"/>
      <c r="I1" s="99"/>
      <c r="J1" s="99"/>
      <c r="K1" s="99"/>
      <c r="L1" s="121"/>
    </row>
    <row r="2" ht="16.5" customHeight="1" spans="1:12">
      <c r="A2" s="100"/>
      <c r="B2" s="101" t="s">
        <v>0</v>
      </c>
      <c r="C2" s="102"/>
      <c r="D2" s="102"/>
      <c r="E2" s="102"/>
      <c r="F2" s="102"/>
      <c r="G2" s="102"/>
      <c r="H2" s="102"/>
      <c r="I2" s="102"/>
      <c r="J2" s="102"/>
      <c r="K2" s="102"/>
      <c r="L2" s="122"/>
    </row>
    <row r="3" ht="16.5" customHeight="1" spans="1:12">
      <c r="A3" s="100"/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22"/>
    </row>
    <row r="4" ht="16.5" customHeight="1" spans="1:12">
      <c r="A4" s="100"/>
      <c r="B4" s="10" t="s">
        <v>1</v>
      </c>
      <c r="C4" s="8"/>
      <c r="D4" s="9"/>
      <c r="E4" s="103"/>
      <c r="F4" s="104"/>
      <c r="G4" s="105" t="s">
        <v>2</v>
      </c>
      <c r="H4" s="105"/>
      <c r="I4" s="123"/>
      <c r="J4" s="124"/>
      <c r="K4" s="125"/>
      <c r="L4" s="122"/>
    </row>
    <row r="5" ht="16.5" customHeight="1" spans="1:12">
      <c r="A5" s="100"/>
      <c r="B5" s="10" t="s">
        <v>3</v>
      </c>
      <c r="C5" s="8"/>
      <c r="D5" s="9"/>
      <c r="E5" s="103"/>
      <c r="F5" s="104"/>
      <c r="G5" s="105"/>
      <c r="H5" s="105"/>
      <c r="I5" s="123"/>
      <c r="J5" s="124"/>
      <c r="K5" s="125"/>
      <c r="L5" s="122"/>
    </row>
    <row r="6" spans="1:12">
      <c r="A6" s="100"/>
      <c r="B6" s="1"/>
      <c r="C6" s="1"/>
      <c r="D6" s="1"/>
      <c r="E6" s="1"/>
      <c r="F6" s="1"/>
      <c r="G6" s="1"/>
      <c r="H6" s="1"/>
      <c r="I6" s="1"/>
      <c r="J6" s="1"/>
      <c r="K6" s="1"/>
      <c r="L6" s="122"/>
    </row>
    <row r="7" spans="1:12">
      <c r="A7" s="100"/>
      <c r="B7" s="106" t="s">
        <v>4</v>
      </c>
      <c r="C7" s="107"/>
      <c r="D7" s="108" t="s">
        <v>5</v>
      </c>
      <c r="E7" s="107"/>
      <c r="F7" s="109"/>
      <c r="G7" s="108" t="s">
        <v>6</v>
      </c>
      <c r="H7" s="107"/>
      <c r="I7" s="107"/>
      <c r="J7" s="109"/>
      <c r="K7" s="108" t="s">
        <v>7</v>
      </c>
      <c r="L7" s="122"/>
    </row>
    <row r="8" spans="1:12">
      <c r="A8" s="100"/>
      <c r="B8" s="107"/>
      <c r="C8" s="107"/>
      <c r="D8" s="107"/>
      <c r="E8" s="107"/>
      <c r="F8" s="109"/>
      <c r="G8" s="107" t="s">
        <v>8</v>
      </c>
      <c r="H8" s="107" t="s">
        <v>9</v>
      </c>
      <c r="I8" s="107" t="s">
        <v>10</v>
      </c>
      <c r="J8" s="109"/>
      <c r="K8" s="107"/>
      <c r="L8" s="122"/>
    </row>
    <row r="9" spans="1:12">
      <c r="A9" s="100"/>
      <c r="B9" s="20" t="s">
        <v>11</v>
      </c>
      <c r="C9" s="20">
        <v>1</v>
      </c>
      <c r="D9" s="20" t="s">
        <v>12</v>
      </c>
      <c r="E9" s="20"/>
      <c r="F9" s="110" t="s">
        <v>13</v>
      </c>
      <c r="G9" s="20">
        <v>18</v>
      </c>
      <c r="H9" s="20"/>
      <c r="I9" s="20"/>
      <c r="J9" s="126"/>
      <c r="K9" s="126"/>
      <c r="L9" s="122"/>
    </row>
    <row r="10" spans="1:12">
      <c r="A10" s="100"/>
      <c r="B10" s="20"/>
      <c r="C10" s="20"/>
      <c r="D10" s="20"/>
      <c r="E10" s="20"/>
      <c r="F10" s="110" t="s">
        <v>14</v>
      </c>
      <c r="G10" s="20">
        <f>SUM('MOD1-评分表'!L41)</f>
        <v>0</v>
      </c>
      <c r="H10" s="20"/>
      <c r="I10" s="20"/>
      <c r="J10" s="126"/>
      <c r="K10" s="20">
        <f t="shared" ref="K10:K14" si="0">SUM(G10:J10)</f>
        <v>0</v>
      </c>
      <c r="L10" s="122"/>
    </row>
    <row r="11" spans="1:12">
      <c r="A11" s="100"/>
      <c r="B11" s="20" t="s">
        <v>11</v>
      </c>
      <c r="C11" s="20">
        <v>2</v>
      </c>
      <c r="D11" s="20" t="s">
        <v>15</v>
      </c>
      <c r="E11" s="20"/>
      <c r="F11" s="110" t="s">
        <v>13</v>
      </c>
      <c r="G11" s="20"/>
      <c r="H11" s="20">
        <v>18</v>
      </c>
      <c r="I11" s="20"/>
      <c r="J11" s="126"/>
      <c r="K11" s="126"/>
      <c r="L11" s="122"/>
    </row>
    <row r="12" spans="1:12">
      <c r="A12" s="100"/>
      <c r="B12" s="20"/>
      <c r="C12" s="20"/>
      <c r="D12" s="20"/>
      <c r="E12" s="20"/>
      <c r="F12" s="110" t="s">
        <v>14</v>
      </c>
      <c r="G12" s="20"/>
      <c r="H12" s="20">
        <f>SUM('MOD2-评分表'!L36)</f>
        <v>0</v>
      </c>
      <c r="I12" s="20"/>
      <c r="J12" s="126"/>
      <c r="K12" s="20">
        <f>SUM(G12:J12)</f>
        <v>0</v>
      </c>
      <c r="L12" s="122"/>
    </row>
    <row r="13" spans="1:12">
      <c r="A13" s="100"/>
      <c r="B13" s="20" t="s">
        <v>11</v>
      </c>
      <c r="C13" s="20">
        <v>3</v>
      </c>
      <c r="D13" s="20" t="s">
        <v>16</v>
      </c>
      <c r="E13" s="20"/>
      <c r="F13" s="110" t="s">
        <v>13</v>
      </c>
      <c r="G13" s="20"/>
      <c r="H13" s="20"/>
      <c r="I13" s="20">
        <v>18</v>
      </c>
      <c r="J13" s="126"/>
      <c r="K13" s="126"/>
      <c r="L13" s="122"/>
    </row>
    <row r="14" spans="1:12">
      <c r="A14" s="100"/>
      <c r="B14" s="20"/>
      <c r="C14" s="20"/>
      <c r="D14" s="20"/>
      <c r="E14" s="20"/>
      <c r="F14" s="110" t="s">
        <v>14</v>
      </c>
      <c r="G14" s="20"/>
      <c r="H14" s="20"/>
      <c r="I14" s="20"/>
      <c r="J14" s="126"/>
      <c r="K14" s="20">
        <f>SUM(G14:J14)</f>
        <v>0</v>
      </c>
      <c r="L14" s="122"/>
    </row>
    <row r="15" spans="1:12">
      <c r="A15" s="100"/>
      <c r="B15" s="20" t="s">
        <v>17</v>
      </c>
      <c r="C15" s="20">
        <v>1</v>
      </c>
      <c r="D15" s="20" t="s">
        <v>18</v>
      </c>
      <c r="E15" s="20"/>
      <c r="F15" s="110" t="s">
        <v>13</v>
      </c>
      <c r="G15" s="20">
        <v>7</v>
      </c>
      <c r="H15" s="20"/>
      <c r="I15" s="20"/>
      <c r="J15" s="126"/>
      <c r="K15" s="126"/>
      <c r="L15" s="122"/>
    </row>
    <row r="16" spans="1:12">
      <c r="A16" s="100"/>
      <c r="B16" s="20"/>
      <c r="C16" s="20"/>
      <c r="D16" s="20"/>
      <c r="E16" s="20"/>
      <c r="F16" s="110" t="s">
        <v>14</v>
      </c>
      <c r="G16" s="20">
        <f>SUM('MOD1-评分表'!L67)</f>
        <v>0</v>
      </c>
      <c r="H16" s="20"/>
      <c r="I16" s="20"/>
      <c r="J16" s="126"/>
      <c r="K16" s="20">
        <f t="shared" ref="K16:K20" si="1">SUM(G16:J16)</f>
        <v>0</v>
      </c>
      <c r="L16" s="122"/>
    </row>
    <row r="17" spans="1:12">
      <c r="A17" s="100"/>
      <c r="B17" s="20" t="s">
        <v>17</v>
      </c>
      <c r="C17" s="20">
        <v>2</v>
      </c>
      <c r="D17" s="20" t="s">
        <v>19</v>
      </c>
      <c r="E17" s="20"/>
      <c r="F17" s="110" t="s">
        <v>13</v>
      </c>
      <c r="G17" s="20"/>
      <c r="H17" s="20">
        <v>7</v>
      </c>
      <c r="I17" s="20"/>
      <c r="J17" s="126"/>
      <c r="K17" s="126"/>
      <c r="L17" s="122"/>
    </row>
    <row r="18" spans="1:12">
      <c r="A18" s="100"/>
      <c r="B18" s="20"/>
      <c r="C18" s="20"/>
      <c r="D18" s="20"/>
      <c r="E18" s="20"/>
      <c r="F18" s="110" t="s">
        <v>14</v>
      </c>
      <c r="G18" s="20"/>
      <c r="H18" s="20">
        <f>SUM('MOD2-评分表'!L62)</f>
        <v>0</v>
      </c>
      <c r="I18" s="20"/>
      <c r="J18" s="126"/>
      <c r="K18" s="20">
        <f>SUM(G18:J18)</f>
        <v>0</v>
      </c>
      <c r="L18" s="122"/>
    </row>
    <row r="19" spans="1:12">
      <c r="A19" s="100"/>
      <c r="B19" s="20" t="s">
        <v>17</v>
      </c>
      <c r="C19" s="20">
        <v>3</v>
      </c>
      <c r="D19" s="20" t="s">
        <v>20</v>
      </c>
      <c r="E19" s="20"/>
      <c r="F19" s="110" t="s">
        <v>13</v>
      </c>
      <c r="G19" s="20"/>
      <c r="H19" s="20"/>
      <c r="I19" s="20">
        <v>7</v>
      </c>
      <c r="J19" s="126"/>
      <c r="K19" s="126"/>
      <c r="L19" s="122"/>
    </row>
    <row r="20" spans="1:12">
      <c r="A20" s="100"/>
      <c r="B20" s="20"/>
      <c r="C20" s="20"/>
      <c r="D20" s="20"/>
      <c r="E20" s="20"/>
      <c r="F20" s="110" t="s">
        <v>14</v>
      </c>
      <c r="G20" s="20"/>
      <c r="H20" s="20"/>
      <c r="I20" s="20"/>
      <c r="J20" s="126"/>
      <c r="K20" s="20">
        <f>SUM(G20:J20)</f>
        <v>0</v>
      </c>
      <c r="L20" s="122"/>
    </row>
    <row r="21" spans="1:12">
      <c r="A21" s="100"/>
      <c r="B21" s="20" t="s">
        <v>21</v>
      </c>
      <c r="C21" s="20">
        <v>1</v>
      </c>
      <c r="D21" s="20" t="s">
        <v>22</v>
      </c>
      <c r="E21" s="20"/>
      <c r="F21" s="110" t="s">
        <v>13</v>
      </c>
      <c r="G21" s="20">
        <v>3</v>
      </c>
      <c r="H21" s="20"/>
      <c r="I21" s="20"/>
      <c r="J21" s="126"/>
      <c r="K21" s="126"/>
      <c r="L21" s="122"/>
    </row>
    <row r="22" spans="1:12">
      <c r="A22" s="100"/>
      <c r="B22" s="20"/>
      <c r="C22" s="20"/>
      <c r="D22" s="20"/>
      <c r="E22" s="20"/>
      <c r="F22" s="110" t="s">
        <v>14</v>
      </c>
      <c r="G22" s="20">
        <f>SUM('MOD1-评分表'!L78)</f>
        <v>0</v>
      </c>
      <c r="H22" s="20"/>
      <c r="I22" s="20"/>
      <c r="J22" s="126"/>
      <c r="K22" s="20">
        <f t="shared" ref="K22:K26" si="2">SUM(G22:J22)</f>
        <v>0</v>
      </c>
      <c r="L22" s="122"/>
    </row>
    <row r="23" spans="1:12">
      <c r="A23" s="100"/>
      <c r="B23" s="20" t="s">
        <v>21</v>
      </c>
      <c r="C23" s="20">
        <v>2</v>
      </c>
      <c r="D23" s="20" t="s">
        <v>23</v>
      </c>
      <c r="E23" s="20"/>
      <c r="F23" s="110" t="s">
        <v>13</v>
      </c>
      <c r="G23" s="20"/>
      <c r="H23" s="20">
        <v>3</v>
      </c>
      <c r="I23" s="20"/>
      <c r="J23" s="126"/>
      <c r="K23" s="126"/>
      <c r="L23" s="122"/>
    </row>
    <row r="24" spans="1:12">
      <c r="A24" s="100"/>
      <c r="B24" s="20"/>
      <c r="C24" s="20"/>
      <c r="D24" s="20"/>
      <c r="E24" s="20"/>
      <c r="F24" s="110" t="s">
        <v>14</v>
      </c>
      <c r="G24" s="20"/>
      <c r="H24" s="20">
        <f>SUM('MOD2-评分表'!L70)</f>
        <v>0</v>
      </c>
      <c r="I24" s="20"/>
      <c r="J24" s="126"/>
      <c r="K24" s="20">
        <f>SUM(G24:J24)</f>
        <v>0</v>
      </c>
      <c r="L24" s="122"/>
    </row>
    <row r="25" spans="1:12">
      <c r="A25" s="100"/>
      <c r="B25" s="20" t="s">
        <v>21</v>
      </c>
      <c r="C25" s="20">
        <v>3</v>
      </c>
      <c r="D25" s="20" t="s">
        <v>24</v>
      </c>
      <c r="E25" s="20"/>
      <c r="F25" s="110" t="s">
        <v>13</v>
      </c>
      <c r="G25" s="20"/>
      <c r="H25" s="20"/>
      <c r="I25" s="20">
        <v>3</v>
      </c>
      <c r="J25" s="126"/>
      <c r="K25" s="126"/>
      <c r="L25" s="122"/>
    </row>
    <row r="26" spans="1:12">
      <c r="A26" s="100"/>
      <c r="B26" s="20"/>
      <c r="C26" s="20"/>
      <c r="D26" s="20"/>
      <c r="E26" s="20"/>
      <c r="F26" s="110" t="s">
        <v>14</v>
      </c>
      <c r="G26" s="20"/>
      <c r="H26" s="20"/>
      <c r="I26" s="20"/>
      <c r="J26" s="126"/>
      <c r="K26" s="20">
        <f>SUM(G26:J26)</f>
        <v>0</v>
      </c>
      <c r="L26" s="122"/>
    </row>
    <row r="27" spans="1:12">
      <c r="A27" s="100"/>
      <c r="B27" s="20" t="s">
        <v>25</v>
      </c>
      <c r="C27" s="20">
        <v>1</v>
      </c>
      <c r="D27" s="20" t="s">
        <v>26</v>
      </c>
      <c r="E27" s="20"/>
      <c r="F27" s="110" t="s">
        <v>13</v>
      </c>
      <c r="G27" s="20">
        <v>3.3</v>
      </c>
      <c r="H27" s="20"/>
      <c r="I27" s="20"/>
      <c r="J27" s="126"/>
      <c r="K27" s="126"/>
      <c r="L27" s="122"/>
    </row>
    <row r="28" spans="1:12">
      <c r="A28" s="100"/>
      <c r="B28" s="20"/>
      <c r="C28" s="20"/>
      <c r="D28" s="20"/>
      <c r="E28" s="20"/>
      <c r="F28" s="110" t="s">
        <v>14</v>
      </c>
      <c r="G28" s="20">
        <f>SUM('MOD1-评分表'!L94)</f>
        <v>0</v>
      </c>
      <c r="H28" s="20"/>
      <c r="I28" s="20"/>
      <c r="J28" s="126"/>
      <c r="K28" s="20">
        <f t="shared" ref="K28:K32" si="3">SUM(G28:J28)</f>
        <v>0</v>
      </c>
      <c r="L28" s="122"/>
    </row>
    <row r="29" spans="1:12">
      <c r="A29" s="100"/>
      <c r="B29" s="20" t="s">
        <v>25</v>
      </c>
      <c r="C29" s="20">
        <v>2</v>
      </c>
      <c r="D29" s="20" t="s">
        <v>27</v>
      </c>
      <c r="E29" s="20"/>
      <c r="F29" s="110" t="s">
        <v>13</v>
      </c>
      <c r="G29" s="20"/>
      <c r="H29" s="20">
        <v>3.3</v>
      </c>
      <c r="I29" s="20"/>
      <c r="J29" s="126"/>
      <c r="K29" s="126"/>
      <c r="L29" s="122"/>
    </row>
    <row r="30" spans="1:12">
      <c r="A30" s="100"/>
      <c r="B30" s="20"/>
      <c r="C30" s="20"/>
      <c r="D30" s="20"/>
      <c r="E30" s="20"/>
      <c r="F30" s="110" t="s">
        <v>14</v>
      </c>
      <c r="G30" s="20"/>
      <c r="H30" s="20">
        <f>SUM('MOD2-评分表'!L86)</f>
        <v>0</v>
      </c>
      <c r="I30" s="20"/>
      <c r="J30" s="126"/>
      <c r="K30" s="20">
        <f>SUM(G30:J30)</f>
        <v>0</v>
      </c>
      <c r="L30" s="122"/>
    </row>
    <row r="31" spans="1:12">
      <c r="A31" s="100"/>
      <c r="B31" s="20" t="s">
        <v>25</v>
      </c>
      <c r="C31" s="20">
        <v>3</v>
      </c>
      <c r="D31" s="20" t="s">
        <v>28</v>
      </c>
      <c r="E31" s="20"/>
      <c r="F31" s="110" t="s">
        <v>13</v>
      </c>
      <c r="G31" s="20"/>
      <c r="H31" s="20"/>
      <c r="I31" s="20">
        <v>3.4</v>
      </c>
      <c r="J31" s="126"/>
      <c r="K31" s="126"/>
      <c r="L31" s="122"/>
    </row>
    <row r="32" spans="1:12">
      <c r="A32" s="100"/>
      <c r="B32" s="20"/>
      <c r="C32" s="20"/>
      <c r="D32" s="20"/>
      <c r="E32" s="20"/>
      <c r="F32" s="110" t="s">
        <v>14</v>
      </c>
      <c r="G32" s="20"/>
      <c r="H32" s="20"/>
      <c r="I32" s="20"/>
      <c r="J32" s="126"/>
      <c r="K32" s="20">
        <f>SUM(G32:J32)</f>
        <v>0</v>
      </c>
      <c r="L32" s="122"/>
    </row>
    <row r="33" spans="1:12">
      <c r="A33" s="100"/>
      <c r="B33" s="20" t="s">
        <v>29</v>
      </c>
      <c r="C33" s="20">
        <v>1</v>
      </c>
      <c r="D33" s="20" t="s">
        <v>30</v>
      </c>
      <c r="E33" s="20"/>
      <c r="F33" s="110" t="s">
        <v>13</v>
      </c>
      <c r="G33" s="20">
        <v>2</v>
      </c>
      <c r="H33" s="20"/>
      <c r="I33" s="20"/>
      <c r="J33" s="126"/>
      <c r="K33" s="126"/>
      <c r="L33" s="122"/>
    </row>
    <row r="34" spans="1:12">
      <c r="A34" s="100"/>
      <c r="B34" s="20"/>
      <c r="C34" s="20"/>
      <c r="D34" s="20"/>
      <c r="E34" s="20"/>
      <c r="F34" s="110" t="s">
        <v>14</v>
      </c>
      <c r="G34" s="20">
        <f>SUM('MOD1-评分表'!L98)</f>
        <v>2</v>
      </c>
      <c r="H34" s="20"/>
      <c r="I34" s="20"/>
      <c r="J34" s="126"/>
      <c r="K34" s="20">
        <f t="shared" ref="K34:K38" si="4">SUM(G34:J34)</f>
        <v>2</v>
      </c>
      <c r="L34" s="122"/>
    </row>
    <row r="35" spans="1:12">
      <c r="A35" s="100"/>
      <c r="B35" s="20" t="s">
        <v>29</v>
      </c>
      <c r="C35" s="20">
        <v>2</v>
      </c>
      <c r="D35" s="20" t="s">
        <v>31</v>
      </c>
      <c r="E35" s="20"/>
      <c r="F35" s="110" t="s">
        <v>13</v>
      </c>
      <c r="G35" s="20"/>
      <c r="H35" s="20">
        <v>2</v>
      </c>
      <c r="I35" s="20"/>
      <c r="J35" s="126"/>
      <c r="K35" s="126"/>
      <c r="L35" s="122"/>
    </row>
    <row r="36" spans="1:12">
      <c r="A36" s="100"/>
      <c r="B36" s="20"/>
      <c r="C36" s="20"/>
      <c r="D36" s="20"/>
      <c r="E36" s="20"/>
      <c r="F36" s="110" t="s">
        <v>14</v>
      </c>
      <c r="G36" s="20"/>
      <c r="H36" s="20">
        <f>SUM('MOD2-评分表'!L90)</f>
        <v>2</v>
      </c>
      <c r="I36" s="20"/>
      <c r="J36" s="126"/>
      <c r="K36" s="20">
        <f>SUM(G36:J36)</f>
        <v>2</v>
      </c>
      <c r="L36" s="122"/>
    </row>
    <row r="37" spans="1:12">
      <c r="A37" s="100"/>
      <c r="B37" s="20" t="s">
        <v>29</v>
      </c>
      <c r="C37" s="20">
        <v>3</v>
      </c>
      <c r="D37" s="20" t="s">
        <v>32</v>
      </c>
      <c r="E37" s="20"/>
      <c r="F37" s="110" t="s">
        <v>13</v>
      </c>
      <c r="G37" s="20"/>
      <c r="H37" s="20"/>
      <c r="I37" s="20">
        <v>2</v>
      </c>
      <c r="J37" s="126"/>
      <c r="K37" s="126"/>
      <c r="L37" s="122"/>
    </row>
    <row r="38" spans="1:12">
      <c r="A38" s="100"/>
      <c r="B38" s="20"/>
      <c r="C38" s="20"/>
      <c r="D38" s="20"/>
      <c r="E38" s="20"/>
      <c r="F38" s="110" t="s">
        <v>14</v>
      </c>
      <c r="G38" s="20"/>
      <c r="H38" s="20"/>
      <c r="I38" s="20"/>
      <c r="J38" s="126"/>
      <c r="K38" s="20">
        <f>SUM(G38:J38)</f>
        <v>0</v>
      </c>
      <c r="L38" s="122"/>
    </row>
    <row r="39" spans="1:12">
      <c r="A39" s="100"/>
      <c r="B39" s="111"/>
      <c r="C39" s="111"/>
      <c r="D39" s="111"/>
      <c r="E39" s="112"/>
      <c r="F39" s="113"/>
      <c r="G39" s="114"/>
      <c r="H39" s="114"/>
      <c r="I39" s="114"/>
      <c r="J39" s="114"/>
      <c r="K39" s="114"/>
      <c r="L39" s="122"/>
    </row>
    <row r="40" spans="1:12">
      <c r="A40" s="100"/>
      <c r="B40" s="111"/>
      <c r="C40" s="111"/>
      <c r="D40" s="111"/>
      <c r="E40" s="112"/>
      <c r="F40" s="110" t="s">
        <v>13</v>
      </c>
      <c r="G40" s="20">
        <f>SUM(G9+G15+G21+G27+G33)</f>
        <v>33.3</v>
      </c>
      <c r="H40" s="20">
        <f>SUM(H11+H17+H23+H29+H35)</f>
        <v>33.3</v>
      </c>
      <c r="I40" s="20">
        <f>SUM(I13+I19+I25+I31+I37)</f>
        <v>33.4</v>
      </c>
      <c r="J40" s="110" t="s">
        <v>13</v>
      </c>
      <c r="K40" s="20">
        <f>SUM(G40:J40)</f>
        <v>100</v>
      </c>
      <c r="L40" s="122"/>
    </row>
    <row r="41" ht="14.25" customHeight="1" spans="1:12">
      <c r="A41" s="100"/>
      <c r="B41" s="111"/>
      <c r="C41" s="111"/>
      <c r="D41" s="111"/>
      <c r="E41" s="112"/>
      <c r="F41" s="110" t="s">
        <v>14</v>
      </c>
      <c r="G41" s="20">
        <f>SUM(G10+G16+G22+G28+G34)</f>
        <v>2</v>
      </c>
      <c r="H41" s="20">
        <f>SUM(H12+H18+H24+H30+H36)</f>
        <v>2</v>
      </c>
      <c r="I41" s="20">
        <v>0</v>
      </c>
      <c r="J41" s="110" t="s">
        <v>33</v>
      </c>
      <c r="K41" s="127">
        <f>SUM(G41:J41)</f>
        <v>4</v>
      </c>
      <c r="L41" s="122"/>
    </row>
    <row r="42" spans="1:12">
      <c r="A42" s="100"/>
      <c r="B42" s="111"/>
      <c r="C42" s="111"/>
      <c r="D42" s="111"/>
      <c r="E42" s="112"/>
      <c r="F42" s="114"/>
      <c r="G42" s="114"/>
      <c r="H42" s="114"/>
      <c r="I42" s="114"/>
      <c r="J42" s="114"/>
      <c r="K42" s="1"/>
      <c r="L42" s="122"/>
    </row>
    <row r="43" spans="1:12">
      <c r="A43" s="100"/>
      <c r="B43" s="111"/>
      <c r="C43" s="111"/>
      <c r="D43" s="111"/>
      <c r="E43" s="112"/>
      <c r="F43" s="114"/>
      <c r="G43" s="32" t="s">
        <v>34</v>
      </c>
      <c r="H43" s="32"/>
      <c r="I43" s="128"/>
      <c r="J43" s="128"/>
      <c r="K43" s="128"/>
      <c r="L43" s="122"/>
    </row>
    <row r="44" spans="1:12">
      <c r="A44" s="100"/>
      <c r="B44" s="1"/>
      <c r="C44" s="1"/>
      <c r="D44" s="1"/>
      <c r="E44" s="1"/>
      <c r="F44" s="1"/>
      <c r="G44" s="32"/>
      <c r="H44" s="32"/>
      <c r="I44" s="128"/>
      <c r="J44" s="128"/>
      <c r="K44" s="128"/>
      <c r="L44" s="122"/>
    </row>
    <row r="45" spans="1:12">
      <c r="A45" s="100"/>
      <c r="B45" s="1"/>
      <c r="C45" s="1"/>
      <c r="D45" s="1"/>
      <c r="E45" s="1"/>
      <c r="F45" s="1"/>
      <c r="G45" s="115" t="s">
        <v>35</v>
      </c>
      <c r="H45" s="116"/>
      <c r="I45" s="129"/>
      <c r="J45" s="130"/>
      <c r="K45" s="131"/>
      <c r="L45" s="122"/>
    </row>
    <row r="46" spans="1:12">
      <c r="A46" s="100"/>
      <c r="B46" s="1"/>
      <c r="C46" s="1"/>
      <c r="D46" s="1"/>
      <c r="E46" s="1"/>
      <c r="F46" s="1"/>
      <c r="G46" s="117"/>
      <c r="H46" s="118"/>
      <c r="I46" s="132"/>
      <c r="J46" s="133"/>
      <c r="K46" s="134"/>
      <c r="L46" s="122"/>
    </row>
    <row r="47" spans="1:12">
      <c r="A47" s="119"/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35"/>
    </row>
  </sheetData>
  <protectedRanges>
    <protectedRange sqref="B2" name="区域1" securityDescriptor=""/>
    <protectedRange sqref="E4:F5" name="区域2" securityDescriptor=""/>
    <protectedRange sqref="I4:K5" name="区域3" securityDescriptor=""/>
  </protectedRanges>
  <mergeCells count="62">
    <mergeCell ref="B4:D4"/>
    <mergeCell ref="E4:F4"/>
    <mergeCell ref="G4:H4"/>
    <mergeCell ref="I4:K4"/>
    <mergeCell ref="B5:D5"/>
    <mergeCell ref="E5:F5"/>
    <mergeCell ref="G5:H5"/>
    <mergeCell ref="I5:K5"/>
    <mergeCell ref="G7:I7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K7:K8"/>
    <mergeCell ref="D25:E26"/>
    <mergeCell ref="G45:H46"/>
    <mergeCell ref="I45:K46"/>
    <mergeCell ref="G43:H44"/>
    <mergeCell ref="I43:K44"/>
    <mergeCell ref="D31:E32"/>
    <mergeCell ref="D29:E30"/>
    <mergeCell ref="D27:E28"/>
    <mergeCell ref="D37:E38"/>
    <mergeCell ref="B2:K3"/>
    <mergeCell ref="B7:C8"/>
    <mergeCell ref="D7:E8"/>
    <mergeCell ref="D9:E10"/>
    <mergeCell ref="D11:E12"/>
    <mergeCell ref="D35:E36"/>
    <mergeCell ref="D33:E34"/>
    <mergeCell ref="D17:E18"/>
    <mergeCell ref="D15:E16"/>
    <mergeCell ref="D13:E14"/>
    <mergeCell ref="D23:E24"/>
    <mergeCell ref="D21:E22"/>
    <mergeCell ref="D19:E20"/>
  </mergeCells>
  <printOptions horizontalCentered="1" verticalCentered="1"/>
  <pageMargins left="0.708333333333333" right="0.708333333333333" top="0.747916666666667" bottom="0.747916666666667" header="0.314583333333333" footer="0.31458333333333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104"/>
  <sheetViews>
    <sheetView workbookViewId="0">
      <selection activeCell="B1" sqref="B1:M2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36</v>
      </c>
      <c r="C1" s="4"/>
      <c r="D1" s="4"/>
      <c r="E1" s="4"/>
      <c r="F1" s="4"/>
      <c r="G1" s="4"/>
      <c r="H1" s="4"/>
      <c r="I1" s="4"/>
      <c r="J1" s="4"/>
      <c r="K1" s="4"/>
      <c r="L1" s="4"/>
      <c r="M1" s="29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0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1"/>
      <c r="L3" s="32"/>
      <c r="M3" s="33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4" t="s">
        <v>38</v>
      </c>
      <c r="J4" s="34"/>
      <c r="K4" s="35" t="s">
        <v>39</v>
      </c>
      <c r="L4" s="14">
        <f>SUM(L7:L97)</f>
        <v>2</v>
      </c>
      <c r="M4" s="36"/>
    </row>
    <row r="5" ht="5.25" customHeight="1"/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16" t="s">
        <v>50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95" t="s">
        <v>52</v>
      </c>
      <c r="M7" s="96">
        <v>0.003</v>
      </c>
    </row>
    <row r="8" spans="2:13">
      <c r="B8" s="19">
        <v>1</v>
      </c>
      <c r="C8" s="20">
        <v>0.9</v>
      </c>
      <c r="D8" s="20" t="s">
        <v>53</v>
      </c>
      <c r="E8" s="20" t="s">
        <v>54</v>
      </c>
      <c r="F8" s="20">
        <v>18</v>
      </c>
      <c r="G8" s="20">
        <v>0</v>
      </c>
      <c r="H8" s="20">
        <v>-0.03</v>
      </c>
      <c r="I8" s="20">
        <f>SUM(F8+G8)</f>
        <v>18</v>
      </c>
      <c r="J8" s="20">
        <f>SUM(F8+H8)</f>
        <v>17.97</v>
      </c>
      <c r="K8" s="39"/>
      <c r="L8" s="20">
        <f>IF(K8&gt;=(J8-M8-$M$7),(IF(K8&lt;=(I8+M8+$M$7),C8,0)),0)</f>
        <v>0</v>
      </c>
      <c r="M8" s="40"/>
    </row>
    <row r="9" spans="2:13">
      <c r="B9" s="19">
        <v>2</v>
      </c>
      <c r="C9" s="20">
        <v>0.7</v>
      </c>
      <c r="D9" s="20" t="s">
        <v>55</v>
      </c>
      <c r="E9" s="20" t="s">
        <v>54</v>
      </c>
      <c r="F9" s="20">
        <v>60</v>
      </c>
      <c r="G9" s="20">
        <v>0.05</v>
      </c>
      <c r="H9" s="20">
        <v>0.02</v>
      </c>
      <c r="I9" s="20">
        <f t="shared" ref="I9:I30" si="0">SUM(F9+G9)</f>
        <v>60.05</v>
      </c>
      <c r="J9" s="20">
        <f t="shared" ref="J9:J30" si="1">SUM(F9+H9)</f>
        <v>60.02</v>
      </c>
      <c r="K9" s="39"/>
      <c r="L9" s="20">
        <f>IF(K9&gt;=(J9-M9-$M$7),(IF(K9&lt;=(I9+M9+$M$7),C9,0)),0)</f>
        <v>0</v>
      </c>
      <c r="M9" s="40"/>
    </row>
    <row r="10" spans="2:13">
      <c r="B10" s="19">
        <v>3</v>
      </c>
      <c r="C10" s="20">
        <v>0.7</v>
      </c>
      <c r="D10" s="20" t="s">
        <v>55</v>
      </c>
      <c r="E10" s="20" t="s">
        <v>54</v>
      </c>
      <c r="F10" s="20">
        <v>28</v>
      </c>
      <c r="G10" s="20">
        <v>0.05</v>
      </c>
      <c r="H10" s="20">
        <v>0.03</v>
      </c>
      <c r="I10" s="20">
        <f>SUM(F10+G10)</f>
        <v>28.05</v>
      </c>
      <c r="J10" s="20">
        <f>SUM(F10+H10)</f>
        <v>28.03</v>
      </c>
      <c r="K10" s="39"/>
      <c r="L10" s="20">
        <f t="shared" ref="L10:L30" si="2">IF(K10&gt;=(J10-M10-$M$7),(IF(K10&lt;=(I10+M10+$M$7),C10,0)),0)</f>
        <v>0</v>
      </c>
      <c r="M10" s="40"/>
    </row>
    <row r="11" spans="2:13">
      <c r="B11" s="19">
        <v>4</v>
      </c>
      <c r="C11" s="20">
        <v>0.7</v>
      </c>
      <c r="D11" s="20" t="s">
        <v>56</v>
      </c>
      <c r="E11" s="20" t="s">
        <v>54</v>
      </c>
      <c r="F11" s="20">
        <v>24</v>
      </c>
      <c r="G11" s="20">
        <v>-0.01</v>
      </c>
      <c r="H11" s="20">
        <v>-0.04</v>
      </c>
      <c r="I11" s="20">
        <f>SUM(F11+G11)</f>
        <v>23.99</v>
      </c>
      <c r="J11" s="20">
        <f>SUM(F11+H11)</f>
        <v>23.96</v>
      </c>
      <c r="K11" s="39"/>
      <c r="L11" s="20">
        <f>IF(K11&gt;=(J11-M11-$M$7),(IF(K11&lt;=(I11+M11+$M$7),C11,0)),0)</f>
        <v>0</v>
      </c>
      <c r="M11" s="40"/>
    </row>
    <row r="12" spans="2:13">
      <c r="B12" s="19">
        <v>5</v>
      </c>
      <c r="C12" s="20">
        <v>0.7</v>
      </c>
      <c r="D12" s="20" t="s">
        <v>57</v>
      </c>
      <c r="E12" s="20" t="s">
        <v>54</v>
      </c>
      <c r="F12" s="20">
        <v>10</v>
      </c>
      <c r="G12" s="20">
        <v>-0.01</v>
      </c>
      <c r="H12" s="20">
        <v>-0.03</v>
      </c>
      <c r="I12" s="20">
        <f>SUM(F12+G12)</f>
        <v>9.99</v>
      </c>
      <c r="J12" s="20">
        <f>SUM(F12+H12)</f>
        <v>9.97</v>
      </c>
      <c r="K12" s="39"/>
      <c r="L12" s="20">
        <f>IF(K12&gt;=(J12-M12-$M$7),(IF(K12&lt;=(I12+M12+$M$7),C12,0)),0)</f>
        <v>0</v>
      </c>
      <c r="M12" s="40"/>
    </row>
    <row r="13" spans="2:13">
      <c r="B13" s="19">
        <v>6</v>
      </c>
      <c r="C13" s="20">
        <v>0.7</v>
      </c>
      <c r="D13" s="20" t="s">
        <v>58</v>
      </c>
      <c r="E13" s="20" t="s">
        <v>54</v>
      </c>
      <c r="F13" s="20">
        <v>18</v>
      </c>
      <c r="G13" s="20">
        <v>0.01</v>
      </c>
      <c r="H13" s="20">
        <v>-0.015</v>
      </c>
      <c r="I13" s="20">
        <f>SUM(F13+G13)</f>
        <v>18.01</v>
      </c>
      <c r="J13" s="20">
        <f>SUM(F13+H13)</f>
        <v>17.985</v>
      </c>
      <c r="K13" s="39"/>
      <c r="L13" s="20">
        <f>IF(K13&gt;=(J13-M13-$M$7),(IF(K13&lt;=(I13+M13+$M$7),C13,0)),0)</f>
        <v>0</v>
      </c>
      <c r="M13" s="40"/>
    </row>
    <row r="14" spans="2:13">
      <c r="B14" s="19">
        <v>7</v>
      </c>
      <c r="C14" s="20">
        <v>0.8</v>
      </c>
      <c r="D14" s="20" t="s">
        <v>59</v>
      </c>
      <c r="E14" s="20" t="s">
        <v>60</v>
      </c>
      <c r="F14" s="20">
        <v>22</v>
      </c>
      <c r="G14" s="20">
        <v>0.05</v>
      </c>
      <c r="H14" s="20">
        <v>0.03</v>
      </c>
      <c r="I14" s="20">
        <f>SUM(F14+G14)</f>
        <v>22.05</v>
      </c>
      <c r="J14" s="20">
        <f>SUM(F14+H14)</f>
        <v>22.03</v>
      </c>
      <c r="K14" s="39"/>
      <c r="L14" s="20">
        <f>IF(K14&gt;=(J14-M14-$M$7),(IF(K14&lt;=(I14+M14+$M$7),C14,0)),0)</f>
        <v>0</v>
      </c>
      <c r="M14" s="40"/>
    </row>
    <row r="15" spans="2:13">
      <c r="B15" s="19">
        <v>8</v>
      </c>
      <c r="C15" s="20">
        <v>0.7</v>
      </c>
      <c r="D15" s="20" t="s">
        <v>61</v>
      </c>
      <c r="E15" s="20" t="s">
        <v>54</v>
      </c>
      <c r="F15" s="20">
        <v>8</v>
      </c>
      <c r="G15" s="20">
        <v>0.04</v>
      </c>
      <c r="H15" s="20">
        <v>0.02</v>
      </c>
      <c r="I15" s="20">
        <f>SUM(F15+G15)</f>
        <v>8.04</v>
      </c>
      <c r="J15" s="20">
        <f>SUM(F15+H15)</f>
        <v>8.02</v>
      </c>
      <c r="K15" s="39"/>
      <c r="L15" s="20">
        <f>IF(K15&gt;=(J15-M15-$M$7),(IF(K15&lt;=(I15+M15+$M$7),C15,0)),0)</f>
        <v>0</v>
      </c>
      <c r="M15" s="40"/>
    </row>
    <row r="16" spans="2:13">
      <c r="B16" s="19">
        <v>9</v>
      </c>
      <c r="C16" s="20">
        <v>0.7</v>
      </c>
      <c r="D16" s="20" t="s">
        <v>62</v>
      </c>
      <c r="E16" s="20" t="s">
        <v>54</v>
      </c>
      <c r="F16" s="20">
        <v>114</v>
      </c>
      <c r="G16" s="20">
        <v>0.08</v>
      </c>
      <c r="H16" s="20">
        <v>0.05</v>
      </c>
      <c r="I16" s="20">
        <f>SUM(F16+G16)</f>
        <v>114.08</v>
      </c>
      <c r="J16" s="20">
        <f>SUM(F16+H16)</f>
        <v>114.05</v>
      </c>
      <c r="K16" s="39"/>
      <c r="L16" s="20">
        <f>IF(K16&gt;=(J16-M16-$M$7),(IF(K16&lt;=(I16+M16+$M$7),C16,0)),0)</f>
        <v>0</v>
      </c>
      <c r="M16" s="40"/>
    </row>
    <row r="17" spans="2:13">
      <c r="B17" s="19">
        <v>10</v>
      </c>
      <c r="C17" s="20">
        <v>0.7</v>
      </c>
      <c r="D17" s="20" t="s">
        <v>62</v>
      </c>
      <c r="E17" s="20" t="s">
        <v>54</v>
      </c>
      <c r="F17" s="20">
        <v>88</v>
      </c>
      <c r="G17" s="20">
        <v>0.06</v>
      </c>
      <c r="H17" s="20">
        <v>0.03</v>
      </c>
      <c r="I17" s="20">
        <f>SUM(F17+G17)</f>
        <v>88.06</v>
      </c>
      <c r="J17" s="20">
        <f>SUM(F17+H17)</f>
        <v>88.03</v>
      </c>
      <c r="K17" s="39"/>
      <c r="L17" s="20">
        <f>IF(K17&gt;=(J17-M17-$M$7),(IF(K17&lt;=(I17+M17+$M$7),C17,0)),0)</f>
        <v>0</v>
      </c>
      <c r="M17" s="40"/>
    </row>
    <row r="18" spans="2:13">
      <c r="B18" s="19">
        <v>11</v>
      </c>
      <c r="C18" s="20">
        <v>0.9</v>
      </c>
      <c r="D18" s="20" t="s">
        <v>63</v>
      </c>
      <c r="E18" s="20" t="s">
        <v>60</v>
      </c>
      <c r="F18" s="20">
        <v>12</v>
      </c>
      <c r="G18" s="20">
        <v>0.018</v>
      </c>
      <c r="H18" s="20">
        <v>0</v>
      </c>
      <c r="I18" s="20">
        <f>SUM(F18+G18)</f>
        <v>12.018</v>
      </c>
      <c r="J18" s="20">
        <f>SUM(F18+H18)</f>
        <v>12</v>
      </c>
      <c r="K18" s="39"/>
      <c r="L18" s="20">
        <f>IF(K18&gt;=(J18-M18-$M$7),(IF(K18&lt;=(I18+M18+$M$7),C18,0)),0)</f>
        <v>0</v>
      </c>
      <c r="M18" s="40"/>
    </row>
    <row r="19" spans="2:13">
      <c r="B19" s="19">
        <v>12</v>
      </c>
      <c r="C19" s="20">
        <v>0.9</v>
      </c>
      <c r="D19" s="20" t="s">
        <v>63</v>
      </c>
      <c r="E19" s="20" t="s">
        <v>60</v>
      </c>
      <c r="F19" s="20">
        <v>12</v>
      </c>
      <c r="G19" s="20">
        <v>0.018</v>
      </c>
      <c r="H19" s="20">
        <v>0</v>
      </c>
      <c r="I19" s="20">
        <f>SUM(F19+G19)</f>
        <v>12.018</v>
      </c>
      <c r="J19" s="20">
        <f>SUM(F19+H19)</f>
        <v>12</v>
      </c>
      <c r="K19" s="39"/>
      <c r="L19" s="20">
        <f>IF(K19&gt;=(J19-M19-$M$7),(IF(K19&lt;=(I19+M19+$M$7),C19,0)),0)</f>
        <v>0</v>
      </c>
      <c r="M19" s="40"/>
    </row>
    <row r="20" spans="2:13">
      <c r="B20" s="19">
        <v>13</v>
      </c>
      <c r="C20" s="20">
        <v>0.7</v>
      </c>
      <c r="D20" s="20" t="s">
        <v>64</v>
      </c>
      <c r="E20" s="20" t="s">
        <v>54</v>
      </c>
      <c r="F20" s="20">
        <v>18</v>
      </c>
      <c r="G20" s="20">
        <v>-0.02</v>
      </c>
      <c r="H20" s="20">
        <v>-0.04</v>
      </c>
      <c r="I20" s="20">
        <f>SUM(F20+G20)</f>
        <v>17.98</v>
      </c>
      <c r="J20" s="20">
        <f>SUM(F20+H20)</f>
        <v>17.96</v>
      </c>
      <c r="K20" s="39"/>
      <c r="L20" s="20">
        <f>IF(K20&gt;=(J20-M20-$M$7),(IF(K20&lt;=(I20+M20+$M$7),C20,0)),0)</f>
        <v>0</v>
      </c>
      <c r="M20" s="40"/>
    </row>
    <row r="21" spans="2:13">
      <c r="B21" s="19">
        <v>14</v>
      </c>
      <c r="C21" s="20">
        <v>0.7</v>
      </c>
      <c r="D21" s="20" t="s">
        <v>65</v>
      </c>
      <c r="E21" s="20" t="s">
        <v>54</v>
      </c>
      <c r="F21" s="20">
        <v>9</v>
      </c>
      <c r="G21" s="20">
        <v>-0.01</v>
      </c>
      <c r="H21" s="20">
        <v>-0.03</v>
      </c>
      <c r="I21" s="20">
        <f>SUM(F21+G21)</f>
        <v>8.99</v>
      </c>
      <c r="J21" s="20">
        <f>SUM(F21+H21)</f>
        <v>8.97</v>
      </c>
      <c r="K21" s="39"/>
      <c r="L21" s="20">
        <f>IF(K21&gt;=(J21-M21-$M$7),(IF(K21&lt;=(I21+M21+$M$7),C21,0)),0)</f>
        <v>0</v>
      </c>
      <c r="M21" s="40"/>
    </row>
    <row r="22" spans="2:13">
      <c r="B22" s="19">
        <v>15</v>
      </c>
      <c r="C22" s="20">
        <v>1</v>
      </c>
      <c r="D22" s="20" t="s">
        <v>66</v>
      </c>
      <c r="E22" s="20" t="s">
        <v>54</v>
      </c>
      <c r="F22" s="20">
        <v>45</v>
      </c>
      <c r="G22" s="20">
        <v>0</v>
      </c>
      <c r="H22" s="20">
        <v>-0.04</v>
      </c>
      <c r="I22" s="20">
        <f>SUM(F22+G22)</f>
        <v>45</v>
      </c>
      <c r="J22" s="20">
        <f>SUM(F22+H22)</f>
        <v>44.96</v>
      </c>
      <c r="K22" s="39"/>
      <c r="L22" s="20">
        <f>IF(K22&gt;=(J22-M22-$M$7),(IF(K22&lt;=(I22+M22+$M$7),C22,0)),0)</f>
        <v>0</v>
      </c>
      <c r="M22" s="40"/>
    </row>
    <row r="23" spans="2:13">
      <c r="B23" s="19">
        <v>16</v>
      </c>
      <c r="C23" s="20">
        <v>1</v>
      </c>
      <c r="D23" s="20" t="s">
        <v>67</v>
      </c>
      <c r="E23" s="20" t="s">
        <v>54</v>
      </c>
      <c r="F23" s="20">
        <v>30</v>
      </c>
      <c r="G23" s="20">
        <v>0.04</v>
      </c>
      <c r="H23" s="20">
        <v>0.01</v>
      </c>
      <c r="I23" s="20">
        <f>SUM(F23+G23)</f>
        <v>30.04</v>
      </c>
      <c r="J23" s="20">
        <f>SUM(F23+H23)</f>
        <v>30.01</v>
      </c>
      <c r="K23" s="39"/>
      <c r="L23" s="20">
        <f>IF(K23&gt;=(J23-M23-$M$7),(IF(K23&lt;=(I23+M23+$M$7),C23,0)),0)</f>
        <v>0</v>
      </c>
      <c r="M23" s="40"/>
    </row>
    <row r="24" spans="2:13">
      <c r="B24" s="19">
        <v>17</v>
      </c>
      <c r="C24" s="20">
        <v>1</v>
      </c>
      <c r="D24" s="20" t="s">
        <v>68</v>
      </c>
      <c r="E24" s="20" t="s">
        <v>69</v>
      </c>
      <c r="F24" s="20">
        <v>0.02</v>
      </c>
      <c r="G24" s="20">
        <v>0.02</v>
      </c>
      <c r="H24" s="20">
        <v>1e-7</v>
      </c>
      <c r="I24" s="20">
        <f>SUM(G24)</f>
        <v>0.02</v>
      </c>
      <c r="J24" s="20">
        <f>SUM(H24)</f>
        <v>1e-7</v>
      </c>
      <c r="K24" s="39"/>
      <c r="L24" s="20">
        <f>IF(K24&gt;=(J24-M24),(IF(K24&lt;=(I24+M24),C24,0)),0)</f>
        <v>0</v>
      </c>
      <c r="M24" s="40"/>
    </row>
    <row r="25" spans="2:13">
      <c r="B25" s="19">
        <v>18</v>
      </c>
      <c r="C25" s="20">
        <v>0.7</v>
      </c>
      <c r="D25" s="20" t="s">
        <v>70</v>
      </c>
      <c r="E25" s="20" t="s">
        <v>54</v>
      </c>
      <c r="F25" s="20">
        <v>98</v>
      </c>
      <c r="G25" s="20">
        <v>0.095</v>
      </c>
      <c r="H25" s="20">
        <v>0.06</v>
      </c>
      <c r="I25" s="20">
        <f>SUM(F25+G25)</f>
        <v>98.095</v>
      </c>
      <c r="J25" s="20">
        <f>SUM(F25+H25)</f>
        <v>98.06</v>
      </c>
      <c r="K25" s="39"/>
      <c r="L25" s="20">
        <f>IF(K25&gt;=(J25-M25-$M$7),(IF(K25&lt;=(I25+M25+$M$7),C25,0)),0)</f>
        <v>0</v>
      </c>
      <c r="M25" s="40"/>
    </row>
    <row r="26" spans="2:13">
      <c r="B26" s="19">
        <v>19</v>
      </c>
      <c r="C26" s="20">
        <v>0.8</v>
      </c>
      <c r="D26" s="20" t="s">
        <v>70</v>
      </c>
      <c r="E26" s="20" t="s">
        <v>60</v>
      </c>
      <c r="F26" s="20">
        <v>20</v>
      </c>
      <c r="G26" s="20">
        <v>0</v>
      </c>
      <c r="H26" s="20">
        <v>-0.02</v>
      </c>
      <c r="I26" s="20">
        <f>SUM(F26+G26)</f>
        <v>20</v>
      </c>
      <c r="J26" s="20">
        <f>SUM(F26+H26)</f>
        <v>19.98</v>
      </c>
      <c r="K26" s="39"/>
      <c r="L26" s="20">
        <f>IF(K26&gt;=(J26-M26-$M$7),(IF(K26&lt;=(I26+M26+$M$7),C26,0)),0)</f>
        <v>0</v>
      </c>
      <c r="M26" s="40"/>
    </row>
    <row r="27" spans="2:13">
      <c r="B27" s="19">
        <v>20</v>
      </c>
      <c r="C27" s="20">
        <v>0.7</v>
      </c>
      <c r="D27" s="20" t="s">
        <v>71</v>
      </c>
      <c r="E27" s="20" t="s">
        <v>54</v>
      </c>
      <c r="F27" s="20">
        <v>90</v>
      </c>
      <c r="G27" s="20">
        <v>-0.07</v>
      </c>
      <c r="H27" s="20">
        <v>-0.105</v>
      </c>
      <c r="I27" s="20">
        <f>SUM(F27+G27)</f>
        <v>89.93</v>
      </c>
      <c r="J27" s="20">
        <f>SUM(F27+H27)</f>
        <v>89.895</v>
      </c>
      <c r="K27" s="39"/>
      <c r="L27" s="20">
        <f>IF(K27&gt;=(J27-M27-$M$7),(IF(K27&lt;=(I27+M27+$M$7),C27,0)),0)</f>
        <v>0</v>
      </c>
      <c r="M27" s="40"/>
    </row>
    <row r="28" spans="2:13">
      <c r="B28" s="19">
        <v>21</v>
      </c>
      <c r="C28" s="20">
        <v>0.8</v>
      </c>
      <c r="D28" s="20" t="s">
        <v>72</v>
      </c>
      <c r="E28" s="20" t="s">
        <v>60</v>
      </c>
      <c r="F28" s="20">
        <v>48</v>
      </c>
      <c r="G28" s="20">
        <v>-0.02</v>
      </c>
      <c r="H28" s="20">
        <v>-0.045</v>
      </c>
      <c r="I28" s="20">
        <f>SUM(F28+G28)</f>
        <v>47.98</v>
      </c>
      <c r="J28" s="20">
        <f>SUM(F28+H28)</f>
        <v>47.955</v>
      </c>
      <c r="K28" s="39"/>
      <c r="L28" s="20">
        <f>IF(K28&gt;=(J28-M28-$M$7),(IF(K28&lt;=(I28+M28+$M$7),C28,0)),0)</f>
        <v>0</v>
      </c>
      <c r="M28" s="40"/>
    </row>
    <row r="29" spans="2:13">
      <c r="B29" s="19">
        <v>22</v>
      </c>
      <c r="C29" s="20">
        <v>0.7</v>
      </c>
      <c r="D29" s="20" t="s">
        <v>73</v>
      </c>
      <c r="E29" s="20" t="s">
        <v>54</v>
      </c>
      <c r="F29" s="20">
        <v>98</v>
      </c>
      <c r="G29" s="20">
        <v>-0.06</v>
      </c>
      <c r="H29" s="20">
        <v>-0.095</v>
      </c>
      <c r="I29" s="20">
        <f>SUM(F29+G29)</f>
        <v>97.94</v>
      </c>
      <c r="J29" s="20">
        <f>SUM(F29+H29)</f>
        <v>97.905</v>
      </c>
      <c r="K29" s="39"/>
      <c r="L29" s="20">
        <f>IF(K29&gt;=(J29-M29-$M$7),(IF(K29&lt;=(I29+M29+$M$7),C29,0)),0)</f>
        <v>0</v>
      </c>
      <c r="M29" s="40"/>
    </row>
    <row r="30" spans="2:13">
      <c r="B30" s="19">
        <v>23</v>
      </c>
      <c r="C30" s="20">
        <v>0.8</v>
      </c>
      <c r="D30" s="20" t="s">
        <v>74</v>
      </c>
      <c r="E30" s="20" t="s">
        <v>60</v>
      </c>
      <c r="F30" s="20">
        <v>10</v>
      </c>
      <c r="G30" s="20">
        <v>0.015</v>
      </c>
      <c r="H30" s="20">
        <v>0</v>
      </c>
      <c r="I30" s="20">
        <f>SUM(F30+G30)</f>
        <v>10.015</v>
      </c>
      <c r="J30" s="20">
        <f>SUM(F30+H30)</f>
        <v>10</v>
      </c>
      <c r="K30" s="39"/>
      <c r="L30" s="20">
        <f>IF(K30&gt;=(J30-M30-$M$7),(IF(K30&lt;=(I30+M30+$M$7),C30,0)),0)</f>
        <v>0</v>
      </c>
      <c r="M30" s="40"/>
    </row>
    <row r="31" spans="2:13">
      <c r="B31" s="19">
        <v>24</v>
      </c>
      <c r="C31" s="20"/>
      <c r="D31" s="20"/>
      <c r="E31" s="20"/>
      <c r="F31" s="20"/>
      <c r="G31" s="20"/>
      <c r="H31" s="20"/>
      <c r="I31" s="20">
        <f t="shared" ref="I31:I40" si="3">SUM(F31+G31)</f>
        <v>0</v>
      </c>
      <c r="J31" s="20">
        <f t="shared" ref="J31:J40" si="4">SUM(F31+H31)</f>
        <v>0</v>
      </c>
      <c r="K31" s="39"/>
      <c r="L31" s="20">
        <f t="shared" ref="L31:L40" si="5">IF(K31&gt;=(J31-M31),(IF(K31&lt;=(I31+M31),C31,0)),0)</f>
        <v>0</v>
      </c>
      <c r="M31" s="40"/>
    </row>
    <row r="32" spans="2:13">
      <c r="B32" s="19">
        <v>25</v>
      </c>
      <c r="C32" s="20"/>
      <c r="D32" s="20"/>
      <c r="E32" s="20"/>
      <c r="F32" s="20"/>
      <c r="G32" s="20"/>
      <c r="H32" s="20"/>
      <c r="I32" s="20">
        <f>SUM(F32+G32)</f>
        <v>0</v>
      </c>
      <c r="J32" s="20">
        <f>SUM(F32+H32)</f>
        <v>0</v>
      </c>
      <c r="K32" s="39"/>
      <c r="L32" s="20">
        <f>IF(K32&gt;=(J32-M32),(IF(K32&lt;=(I32+M32),C32,0)),0)</f>
        <v>0</v>
      </c>
      <c r="M32" s="40"/>
    </row>
    <row r="33" spans="2:13">
      <c r="B33" s="19">
        <v>26</v>
      </c>
      <c r="C33" s="20"/>
      <c r="D33" s="20"/>
      <c r="E33" s="20"/>
      <c r="F33" s="20"/>
      <c r="G33" s="20"/>
      <c r="H33" s="20"/>
      <c r="I33" s="20">
        <f>SUM(F33+G33)</f>
        <v>0</v>
      </c>
      <c r="J33" s="20">
        <f>SUM(F33+H33)</f>
        <v>0</v>
      </c>
      <c r="K33" s="39"/>
      <c r="L33" s="20">
        <f>IF(K33&gt;=(J33-M33),(IF(K33&lt;=(I33+M33),C33,0)),0)</f>
        <v>0</v>
      </c>
      <c r="M33" s="40"/>
    </row>
    <row r="34" spans="2:13">
      <c r="B34" s="19">
        <v>27</v>
      </c>
      <c r="C34" s="20"/>
      <c r="D34" s="20"/>
      <c r="E34" s="20"/>
      <c r="F34" s="20"/>
      <c r="G34" s="20"/>
      <c r="H34" s="20"/>
      <c r="I34" s="20">
        <f>SUM(F34+G34)</f>
        <v>0</v>
      </c>
      <c r="J34" s="20">
        <f>SUM(F34+H34)</f>
        <v>0</v>
      </c>
      <c r="K34" s="39"/>
      <c r="L34" s="20">
        <f>IF(K34&gt;=(J34-M34),(IF(K34&lt;=(I34+M34),C34,0)),0)</f>
        <v>0</v>
      </c>
      <c r="M34" s="40"/>
    </row>
    <row r="35" spans="2:13">
      <c r="B35" s="19">
        <v>28</v>
      </c>
      <c r="C35" s="20"/>
      <c r="D35" s="20"/>
      <c r="E35" s="20"/>
      <c r="F35" s="20"/>
      <c r="G35" s="20"/>
      <c r="H35" s="20"/>
      <c r="I35" s="20">
        <f>SUM(F35+G35)</f>
        <v>0</v>
      </c>
      <c r="J35" s="20">
        <f>SUM(F35+H35)</f>
        <v>0</v>
      </c>
      <c r="K35" s="39"/>
      <c r="L35" s="20">
        <f>IF(K35&gt;=(J35-M35),(IF(K35&lt;=(I35+M35),C35,0)),0)</f>
        <v>0</v>
      </c>
      <c r="M35" s="40"/>
    </row>
    <row r="36" spans="2:13">
      <c r="B36" s="19">
        <v>29</v>
      </c>
      <c r="C36" s="20"/>
      <c r="D36" s="20"/>
      <c r="E36" s="20"/>
      <c r="F36" s="20"/>
      <c r="G36" s="20"/>
      <c r="H36" s="20"/>
      <c r="I36" s="20">
        <f>SUM(F36+G36)</f>
        <v>0</v>
      </c>
      <c r="J36" s="20">
        <f>SUM(F36+H36)</f>
        <v>0</v>
      </c>
      <c r="K36" s="39"/>
      <c r="L36" s="20">
        <f>IF(K36&gt;=(J36-M36),(IF(K36&lt;=(I36+M36),C36,0)),0)</f>
        <v>0</v>
      </c>
      <c r="M36" s="40"/>
    </row>
    <row r="37" spans="2:13">
      <c r="B37" s="19">
        <v>30</v>
      </c>
      <c r="C37" s="20"/>
      <c r="D37" s="20"/>
      <c r="E37" s="20"/>
      <c r="F37" s="20"/>
      <c r="G37" s="20"/>
      <c r="H37" s="20"/>
      <c r="I37" s="20">
        <f>SUM(F37+G37)</f>
        <v>0</v>
      </c>
      <c r="J37" s="20">
        <f>SUM(F37+H37)</f>
        <v>0</v>
      </c>
      <c r="K37" s="39"/>
      <c r="L37" s="20">
        <f>IF(K37&gt;=(J37-M37),(IF(K37&lt;=(I37+M37),C37,0)),0)</f>
        <v>0</v>
      </c>
      <c r="M37" s="40"/>
    </row>
    <row r="38" spans="2:13">
      <c r="B38" s="19">
        <v>31</v>
      </c>
      <c r="C38" s="20"/>
      <c r="D38" s="20"/>
      <c r="E38" s="20"/>
      <c r="F38" s="20"/>
      <c r="G38" s="20"/>
      <c r="H38" s="20"/>
      <c r="I38" s="20">
        <f>SUM(F38+G38)</f>
        <v>0</v>
      </c>
      <c r="J38" s="20">
        <f>SUM(F38+H38)</f>
        <v>0</v>
      </c>
      <c r="K38" s="39"/>
      <c r="L38" s="20">
        <f>IF(K38&gt;=(J38-M38),(IF(K38&lt;=(I38+M38),C38,0)),0)</f>
        <v>0</v>
      </c>
      <c r="M38" s="40"/>
    </row>
    <row r="39" spans="2:13">
      <c r="B39" s="19">
        <v>32</v>
      </c>
      <c r="C39" s="20"/>
      <c r="D39" s="20"/>
      <c r="E39" s="20"/>
      <c r="F39" s="20"/>
      <c r="G39" s="20"/>
      <c r="H39" s="20"/>
      <c r="I39" s="20">
        <f>SUM(F39+G39)</f>
        <v>0</v>
      </c>
      <c r="J39" s="20">
        <f>SUM(F39+H39)</f>
        <v>0</v>
      </c>
      <c r="K39" s="39"/>
      <c r="L39" s="20">
        <f>IF(K39&gt;=(J39-M39),(IF(K39&lt;=(I39+M39),C39,0)),0)</f>
        <v>0</v>
      </c>
      <c r="M39" s="40"/>
    </row>
    <row r="40" spans="2:13">
      <c r="B40" s="28">
        <v>33</v>
      </c>
      <c r="C40" s="44"/>
      <c r="D40" s="44"/>
      <c r="E40" s="44"/>
      <c r="F40" s="44"/>
      <c r="G40" s="44"/>
      <c r="H40" s="44"/>
      <c r="I40" s="44">
        <f>SUM(F40+G40)</f>
        <v>0</v>
      </c>
      <c r="J40" s="44">
        <f>SUM(F40+H40)</f>
        <v>0</v>
      </c>
      <c r="K40" s="45"/>
      <c r="L40" s="44">
        <f>IF(K40&gt;=(J40-M40),(IF(K40&lt;=(I40+M40),C40,0)),0)</f>
        <v>0</v>
      </c>
      <c r="M40" s="46"/>
    </row>
    <row r="41" spans="2:13">
      <c r="B41" s="22" t="s">
        <v>75</v>
      </c>
      <c r="C41" s="23">
        <f>SUM(C8:C40)</f>
        <v>18</v>
      </c>
      <c r="D41" s="23"/>
      <c r="E41" s="23"/>
      <c r="F41" s="23"/>
      <c r="G41" s="23"/>
      <c r="H41" s="23"/>
      <c r="I41" s="23"/>
      <c r="J41" s="23"/>
      <c r="K41" s="41"/>
      <c r="L41" s="41">
        <f>SUM(L8:L40)</f>
        <v>0</v>
      </c>
      <c r="M41" s="42"/>
    </row>
    <row r="42" spans="2:13">
      <c r="B42" s="24"/>
      <c r="C42" s="25"/>
      <c r="D42" s="25"/>
      <c r="E42" s="25"/>
      <c r="F42" s="25"/>
      <c r="G42" s="25"/>
      <c r="H42" s="25"/>
      <c r="I42" s="25"/>
      <c r="J42" s="25"/>
      <c r="K42" s="43"/>
      <c r="L42" s="43"/>
      <c r="M42" s="25"/>
    </row>
    <row r="43" spans="2:13">
      <c r="B43" s="17" t="s">
        <v>76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38"/>
    </row>
    <row r="44" spans="2:13">
      <c r="B44" s="19">
        <v>1</v>
      </c>
      <c r="C44" s="20">
        <v>0.8</v>
      </c>
      <c r="D44" s="20" t="s">
        <v>64</v>
      </c>
      <c r="E44" s="20" t="s">
        <v>77</v>
      </c>
      <c r="F44" s="20" t="s">
        <v>78</v>
      </c>
      <c r="G44" s="20"/>
      <c r="H44" s="20"/>
      <c r="I44" s="20" t="s">
        <v>79</v>
      </c>
      <c r="J44" s="20" t="s">
        <v>80</v>
      </c>
      <c r="K44" s="39"/>
      <c r="L44" s="20">
        <f>IF(K44=I44,(IF(K44&lt;&gt;J44,C44,0)),0)</f>
        <v>0</v>
      </c>
      <c r="M44" s="40"/>
    </row>
    <row r="45" spans="2:13">
      <c r="B45" s="19">
        <v>2</v>
      </c>
      <c r="C45" s="20">
        <v>0.6</v>
      </c>
      <c r="D45" s="20" t="s">
        <v>59</v>
      </c>
      <c r="E45" s="20" t="s">
        <v>77</v>
      </c>
      <c r="F45" s="20" t="s">
        <v>81</v>
      </c>
      <c r="G45" s="20"/>
      <c r="H45" s="20"/>
      <c r="I45" s="20" t="s">
        <v>79</v>
      </c>
      <c r="J45" s="20" t="s">
        <v>80</v>
      </c>
      <c r="K45" s="39"/>
      <c r="L45" s="20">
        <f>IF(K45=I45,(IF(K45&lt;&gt;J45,C45,0)),0)</f>
        <v>0</v>
      </c>
      <c r="M45" s="40"/>
    </row>
    <row r="46" spans="2:13">
      <c r="B46" s="19">
        <v>3</v>
      </c>
      <c r="C46" s="20">
        <v>0.3</v>
      </c>
      <c r="D46" s="20" t="s">
        <v>53</v>
      </c>
      <c r="E46" s="20" t="s">
        <v>54</v>
      </c>
      <c r="F46" s="20">
        <v>7</v>
      </c>
      <c r="G46" s="20">
        <v>0.1</v>
      </c>
      <c r="H46" s="20">
        <v>-0.1</v>
      </c>
      <c r="I46" s="20">
        <f t="shared" ref="I46:I66" si="6">SUM(F46+G46)</f>
        <v>7.1</v>
      </c>
      <c r="J46" s="20">
        <f t="shared" ref="J46:J66" si="7">SUM(F46+H46)</f>
        <v>6.9</v>
      </c>
      <c r="K46" s="39"/>
      <c r="L46" s="20">
        <f t="shared" ref="L46:L66" si="8">IF(K46&gt;=(J46-M46),(IF(K46&lt;=(I46+M46),C46,0)),0)</f>
        <v>0</v>
      </c>
      <c r="M46" s="40"/>
    </row>
    <row r="47" spans="2:13">
      <c r="B47" s="19">
        <v>4</v>
      </c>
      <c r="C47" s="20">
        <v>0.3</v>
      </c>
      <c r="D47" s="20" t="s">
        <v>82</v>
      </c>
      <c r="E47" s="20" t="s">
        <v>54</v>
      </c>
      <c r="F47" s="20">
        <v>10</v>
      </c>
      <c r="G47" s="20">
        <v>0.1</v>
      </c>
      <c r="H47" s="20">
        <v>-0.1</v>
      </c>
      <c r="I47" s="20">
        <f>SUM(F47+G47)</f>
        <v>10.1</v>
      </c>
      <c r="J47" s="20">
        <f>SUM(F47+H47)</f>
        <v>9.9</v>
      </c>
      <c r="K47" s="39"/>
      <c r="L47" s="20">
        <f>IF(K47&gt;=(J47-M47),(IF(K47&lt;=(I47+M47),C47,0)),0)</f>
        <v>0</v>
      </c>
      <c r="M47" s="40"/>
    </row>
    <row r="48" spans="2:13">
      <c r="B48" s="19">
        <v>5</v>
      </c>
      <c r="C48" s="20">
        <v>0.3</v>
      </c>
      <c r="D48" s="20" t="s">
        <v>83</v>
      </c>
      <c r="E48" s="20" t="s">
        <v>54</v>
      </c>
      <c r="F48" s="20">
        <v>12</v>
      </c>
      <c r="G48" s="20">
        <v>0.1</v>
      </c>
      <c r="H48" s="20">
        <v>-0.1</v>
      </c>
      <c r="I48" s="20">
        <f>SUM(F48+G48)</f>
        <v>12.1</v>
      </c>
      <c r="J48" s="20">
        <f>SUM(F48+H48)</f>
        <v>11.9</v>
      </c>
      <c r="K48" s="39"/>
      <c r="L48" s="20">
        <f>IF(K48&gt;=(J48-M48),(IF(K48&lt;=(I48+M48),C48,0)),0)</f>
        <v>0</v>
      </c>
      <c r="M48" s="40"/>
    </row>
    <row r="49" spans="2:13">
      <c r="B49" s="19">
        <v>6</v>
      </c>
      <c r="C49" s="20">
        <v>0.3</v>
      </c>
      <c r="D49" s="20" t="s">
        <v>84</v>
      </c>
      <c r="E49" s="20" t="s">
        <v>54</v>
      </c>
      <c r="F49" s="20">
        <v>17</v>
      </c>
      <c r="G49" s="20">
        <v>0.1</v>
      </c>
      <c r="H49" s="20">
        <v>-0.1</v>
      </c>
      <c r="I49" s="20">
        <f>SUM(F49+G49)</f>
        <v>17.1</v>
      </c>
      <c r="J49" s="20">
        <f>SUM(F49+H49)</f>
        <v>16.9</v>
      </c>
      <c r="K49" s="39"/>
      <c r="L49" s="20">
        <f>IF(K49&gt;=(J49-M49),(IF(K49&lt;=(I49+M49),C49,0)),0)</f>
        <v>0</v>
      </c>
      <c r="M49" s="40"/>
    </row>
    <row r="50" spans="2:13">
      <c r="B50" s="19">
        <v>7</v>
      </c>
      <c r="C50" s="20">
        <v>0.3</v>
      </c>
      <c r="D50" s="20" t="s">
        <v>85</v>
      </c>
      <c r="E50" s="20" t="s">
        <v>54</v>
      </c>
      <c r="F50" s="20">
        <v>6</v>
      </c>
      <c r="G50" s="20">
        <v>0.1</v>
      </c>
      <c r="H50" s="20">
        <v>-0.1</v>
      </c>
      <c r="I50" s="20">
        <f>SUM(F50+G50)</f>
        <v>6.1</v>
      </c>
      <c r="J50" s="20">
        <f>SUM(F50+H50)</f>
        <v>5.9</v>
      </c>
      <c r="K50" s="39"/>
      <c r="L50" s="20">
        <f>IF(K50&gt;=(J50-M50),(IF(K50&lt;=(I50+M50),C50,0)),0)</f>
        <v>0</v>
      </c>
      <c r="M50" s="40"/>
    </row>
    <row r="51" spans="2:13">
      <c r="B51" s="19">
        <v>8</v>
      </c>
      <c r="C51" s="20">
        <v>0.3</v>
      </c>
      <c r="D51" s="20" t="s">
        <v>57</v>
      </c>
      <c r="E51" s="20" t="s">
        <v>54</v>
      </c>
      <c r="F51" s="20">
        <v>15</v>
      </c>
      <c r="G51" s="20">
        <v>0.1</v>
      </c>
      <c r="H51" s="20">
        <v>-0.1</v>
      </c>
      <c r="I51" s="20">
        <f>SUM(F51+G51)</f>
        <v>15.1</v>
      </c>
      <c r="J51" s="20">
        <f>SUM(F51+H51)</f>
        <v>14.9</v>
      </c>
      <c r="K51" s="39"/>
      <c r="L51" s="20">
        <f>IF(K51&gt;=(J51-M51),(IF(K51&lt;=(I51+M51),C51,0)),0)</f>
        <v>0</v>
      </c>
      <c r="M51" s="40"/>
    </row>
    <row r="52" spans="2:13">
      <c r="B52" s="19">
        <v>9</v>
      </c>
      <c r="C52" s="20">
        <v>0.3</v>
      </c>
      <c r="D52" s="20" t="s">
        <v>59</v>
      </c>
      <c r="E52" s="20" t="s">
        <v>54</v>
      </c>
      <c r="F52" s="20">
        <v>30</v>
      </c>
      <c r="G52" s="20">
        <v>0.1</v>
      </c>
      <c r="H52" s="20">
        <v>-0.1</v>
      </c>
      <c r="I52" s="20">
        <f>SUM(F52+G52)</f>
        <v>30.1</v>
      </c>
      <c r="J52" s="20">
        <f>SUM(F52+H52)</f>
        <v>29.9</v>
      </c>
      <c r="K52" s="39"/>
      <c r="L52" s="20">
        <f>IF(K52&gt;=(J52-M52),(IF(K52&lt;=(I52+M52),C52,0)),0)</f>
        <v>0</v>
      </c>
      <c r="M52" s="40"/>
    </row>
    <row r="53" spans="2:13">
      <c r="B53" s="19">
        <v>10</v>
      </c>
      <c r="C53" s="20">
        <v>0.3</v>
      </c>
      <c r="D53" s="20" t="s">
        <v>86</v>
      </c>
      <c r="E53" s="20" t="s">
        <v>54</v>
      </c>
      <c r="F53" s="20">
        <v>15</v>
      </c>
      <c r="G53" s="20">
        <v>0.1</v>
      </c>
      <c r="H53" s="20">
        <v>-0.1</v>
      </c>
      <c r="I53" s="20">
        <f>SUM(F53+G53)</f>
        <v>15.1</v>
      </c>
      <c r="J53" s="20">
        <f>SUM(F53+H53)</f>
        <v>14.9</v>
      </c>
      <c r="K53" s="39"/>
      <c r="L53" s="20">
        <f>IF(K53&gt;=(J53-M53),(IF(K53&lt;=(I53+M53),C53,0)),0)</f>
        <v>0</v>
      </c>
      <c r="M53" s="40"/>
    </row>
    <row r="54" spans="2:13">
      <c r="B54" s="19">
        <v>11</v>
      </c>
      <c r="C54" s="20">
        <v>0.3</v>
      </c>
      <c r="D54" s="20" t="s">
        <v>86</v>
      </c>
      <c r="E54" s="20" t="s">
        <v>54</v>
      </c>
      <c r="F54" s="20">
        <v>20</v>
      </c>
      <c r="G54" s="20">
        <v>0.1</v>
      </c>
      <c r="H54" s="20">
        <v>-0.1</v>
      </c>
      <c r="I54" s="20">
        <f>SUM(F54+G54)</f>
        <v>20.1</v>
      </c>
      <c r="J54" s="20">
        <f>SUM(F54+H54)</f>
        <v>19.9</v>
      </c>
      <c r="K54" s="39"/>
      <c r="L54" s="20">
        <f>IF(K54&gt;=(J54-M54),(IF(K54&lt;=(I54+M54),C54,0)),0)</f>
        <v>0</v>
      </c>
      <c r="M54" s="40"/>
    </row>
    <row r="55" spans="2:13">
      <c r="B55" s="19">
        <v>12</v>
      </c>
      <c r="C55" s="20">
        <v>0.3</v>
      </c>
      <c r="D55" s="20" t="s">
        <v>86</v>
      </c>
      <c r="E55" s="20" t="s">
        <v>54</v>
      </c>
      <c r="F55" s="20">
        <v>4</v>
      </c>
      <c r="G55" s="20">
        <v>0.1</v>
      </c>
      <c r="H55" s="20">
        <v>-0.1</v>
      </c>
      <c r="I55" s="20">
        <f>SUM(F55+G55)</f>
        <v>4.1</v>
      </c>
      <c r="J55" s="20">
        <f>SUM(F55+H55)</f>
        <v>3.9</v>
      </c>
      <c r="K55" s="39"/>
      <c r="L55" s="20">
        <f>IF(K55&gt;=(J55-M55),(IF(K55&lt;=(I55+M55),C55,0)),0)</f>
        <v>0</v>
      </c>
      <c r="M55" s="40"/>
    </row>
    <row r="56" spans="2:13">
      <c r="B56" s="19">
        <v>13</v>
      </c>
      <c r="C56" s="20">
        <v>0.4</v>
      </c>
      <c r="D56" s="20" t="s">
        <v>87</v>
      </c>
      <c r="E56" s="20" t="s">
        <v>54</v>
      </c>
      <c r="F56" s="20">
        <v>2</v>
      </c>
      <c r="G56" s="20">
        <v>0.1</v>
      </c>
      <c r="H56" s="20">
        <v>-0.1</v>
      </c>
      <c r="I56" s="20">
        <f>SUM(F56+G56)</f>
        <v>2.1</v>
      </c>
      <c r="J56" s="20">
        <f>SUM(F56+H56)</f>
        <v>1.9</v>
      </c>
      <c r="K56" s="39"/>
      <c r="L56" s="20">
        <f>IF(K56&gt;=(J56-M56),(IF(K56&lt;=(I56+M56),C56,0)),0)</f>
        <v>0</v>
      </c>
      <c r="M56" s="40"/>
    </row>
    <row r="57" spans="2:13">
      <c r="B57" s="19">
        <v>14</v>
      </c>
      <c r="C57" s="20">
        <v>0.3</v>
      </c>
      <c r="D57" s="20" t="s">
        <v>88</v>
      </c>
      <c r="E57" s="20" t="s">
        <v>54</v>
      </c>
      <c r="F57" s="20">
        <v>20</v>
      </c>
      <c r="G57" s="20">
        <v>0.1</v>
      </c>
      <c r="H57" s="20">
        <v>-0.1</v>
      </c>
      <c r="I57" s="20">
        <f>SUM(F57+G57)</f>
        <v>20.1</v>
      </c>
      <c r="J57" s="20">
        <f>SUM(F57+H57)</f>
        <v>19.9</v>
      </c>
      <c r="K57" s="39"/>
      <c r="L57" s="20">
        <f>IF(K57&gt;=(J57-M57),(IF(K57&lt;=(I57+M57),C57,0)),0)</f>
        <v>0</v>
      </c>
      <c r="M57" s="40"/>
    </row>
    <row r="58" spans="2:13">
      <c r="B58" s="19">
        <v>15</v>
      </c>
      <c r="C58" s="20">
        <v>0.3</v>
      </c>
      <c r="D58" s="20" t="s">
        <v>89</v>
      </c>
      <c r="E58" s="20" t="s">
        <v>54</v>
      </c>
      <c r="F58" s="20">
        <v>15</v>
      </c>
      <c r="G58" s="20">
        <v>0.1</v>
      </c>
      <c r="H58" s="20">
        <v>-0.1</v>
      </c>
      <c r="I58" s="20">
        <f>SUM(F58+G58)</f>
        <v>15.1</v>
      </c>
      <c r="J58" s="20">
        <f>SUM(F58+H58)</f>
        <v>14.9</v>
      </c>
      <c r="K58" s="39"/>
      <c r="L58" s="20">
        <f>IF(K58&gt;=(J58-M58),(IF(K58&lt;=(I58+M58),C58,0)),0)</f>
        <v>0</v>
      </c>
      <c r="M58" s="40"/>
    </row>
    <row r="59" spans="2:13">
      <c r="B59" s="19">
        <v>16</v>
      </c>
      <c r="C59" s="20">
        <v>0.3</v>
      </c>
      <c r="D59" s="20" t="s">
        <v>67</v>
      </c>
      <c r="E59" s="20" t="s">
        <v>54</v>
      </c>
      <c r="F59" s="20">
        <v>20</v>
      </c>
      <c r="G59" s="20">
        <v>0.1</v>
      </c>
      <c r="H59" s="20">
        <v>-0.1</v>
      </c>
      <c r="I59" s="20">
        <f>SUM(F59+G59)</f>
        <v>20.1</v>
      </c>
      <c r="J59" s="20">
        <f>SUM(F59+H59)</f>
        <v>19.9</v>
      </c>
      <c r="K59" s="39"/>
      <c r="L59" s="20">
        <f>IF(K59&gt;=(J59-M59),(IF(K59&lt;=(I59+M59),C59,0)),0)</f>
        <v>0</v>
      </c>
      <c r="M59" s="40"/>
    </row>
    <row r="60" spans="2:13">
      <c r="B60" s="19">
        <v>17</v>
      </c>
      <c r="C60" s="20">
        <v>0.3</v>
      </c>
      <c r="D60" s="20" t="s">
        <v>90</v>
      </c>
      <c r="E60" s="20" t="s">
        <v>60</v>
      </c>
      <c r="F60" s="20">
        <v>20</v>
      </c>
      <c r="G60" s="20">
        <v>0.1</v>
      </c>
      <c r="H60" s="20">
        <v>-0.1</v>
      </c>
      <c r="I60" s="20">
        <f>SUM(F60+G60)</f>
        <v>20.1</v>
      </c>
      <c r="J60" s="20">
        <f>SUM(F60+H60)</f>
        <v>19.9</v>
      </c>
      <c r="K60" s="39"/>
      <c r="L60" s="20">
        <f>IF(K60&gt;=(J60-M60),(IF(K60&lt;=(I60+M60),C60,0)),0)</f>
        <v>0</v>
      </c>
      <c r="M60" s="40"/>
    </row>
    <row r="61" spans="2:13">
      <c r="B61" s="19">
        <v>18</v>
      </c>
      <c r="C61" s="20">
        <v>0.3</v>
      </c>
      <c r="D61" s="20" t="s">
        <v>71</v>
      </c>
      <c r="E61" s="20" t="s">
        <v>60</v>
      </c>
      <c r="F61" s="20">
        <v>50</v>
      </c>
      <c r="G61" s="20">
        <v>0.1</v>
      </c>
      <c r="H61" s="20">
        <v>-0.1</v>
      </c>
      <c r="I61" s="20">
        <f>SUM(F61+G61)</f>
        <v>50.1</v>
      </c>
      <c r="J61" s="20">
        <f>SUM(F61+H61)</f>
        <v>49.9</v>
      </c>
      <c r="K61" s="39"/>
      <c r="L61" s="20">
        <f>IF(K61&gt;=(J61-M61),(IF(K61&lt;=(I61+M61),C61,0)),0)</f>
        <v>0</v>
      </c>
      <c r="M61" s="40"/>
    </row>
    <row r="62" spans="2:13">
      <c r="B62" s="19">
        <v>19</v>
      </c>
      <c r="C62" s="20">
        <v>0.3</v>
      </c>
      <c r="D62" s="20" t="s">
        <v>71</v>
      </c>
      <c r="E62" s="20" t="s">
        <v>60</v>
      </c>
      <c r="F62" s="20">
        <v>40</v>
      </c>
      <c r="G62" s="20">
        <v>0.1</v>
      </c>
      <c r="H62" s="20">
        <v>-0.1</v>
      </c>
      <c r="I62" s="20">
        <f>SUM(F62+G62)</f>
        <v>40.1</v>
      </c>
      <c r="J62" s="20">
        <f>SUM(F62+H62)</f>
        <v>39.9</v>
      </c>
      <c r="K62" s="39"/>
      <c r="L62" s="20">
        <f>IF(K62&gt;=(J62-M62),(IF(K62&lt;=(I62+M62),C62,0)),0)</f>
        <v>0</v>
      </c>
      <c r="M62" s="40"/>
    </row>
    <row r="63" spans="2:13">
      <c r="B63" s="19">
        <v>20</v>
      </c>
      <c r="C63" s="20">
        <v>0.4</v>
      </c>
      <c r="D63" s="20" t="s">
        <v>70</v>
      </c>
      <c r="E63" s="20" t="s">
        <v>54</v>
      </c>
      <c r="F63" s="20">
        <v>2</v>
      </c>
      <c r="G63" s="20">
        <v>0.1</v>
      </c>
      <c r="H63" s="20">
        <v>-0.1</v>
      </c>
      <c r="I63" s="20">
        <f>SUM(F63+G63)</f>
        <v>2.1</v>
      </c>
      <c r="J63" s="20">
        <f>SUM(F63+H63)</f>
        <v>1.9</v>
      </c>
      <c r="K63" s="39"/>
      <c r="L63" s="20">
        <f>IF(K63&gt;=(J63-M63),(IF(K63&lt;=(I63+M63),C63,0)),0)</f>
        <v>0</v>
      </c>
      <c r="M63" s="40"/>
    </row>
    <row r="64" spans="2:13">
      <c r="B64" s="19">
        <v>21</v>
      </c>
      <c r="C64" s="20"/>
      <c r="D64" s="20"/>
      <c r="E64" s="20"/>
      <c r="F64" s="20"/>
      <c r="G64" s="20"/>
      <c r="H64" s="20"/>
      <c r="I64" s="20">
        <f>SUM(F64+G64)</f>
        <v>0</v>
      </c>
      <c r="J64" s="20">
        <f>SUM(F64+H64)</f>
        <v>0</v>
      </c>
      <c r="K64" s="39"/>
      <c r="L64" s="20">
        <f>IF(K64&gt;=(J64-M64),(IF(K64&lt;=(I64+M64),C64,0)),0)</f>
        <v>0</v>
      </c>
      <c r="M64" s="40"/>
    </row>
    <row r="65" spans="2:13">
      <c r="B65" s="19">
        <v>22</v>
      </c>
      <c r="C65" s="20"/>
      <c r="D65" s="20"/>
      <c r="E65" s="20"/>
      <c r="F65" s="20"/>
      <c r="G65" s="20"/>
      <c r="H65" s="20"/>
      <c r="I65" s="20">
        <f>SUM(F65+G65)</f>
        <v>0</v>
      </c>
      <c r="J65" s="20">
        <f>SUM(F65+H65)</f>
        <v>0</v>
      </c>
      <c r="K65" s="39"/>
      <c r="L65" s="20">
        <f>IF(K65&gt;=(J65-M65),(IF(K65&lt;=(I65+M65),C65,0)),0)</f>
        <v>0</v>
      </c>
      <c r="M65" s="40"/>
    </row>
    <row r="66" spans="2:13">
      <c r="B66" s="28">
        <v>23</v>
      </c>
      <c r="C66" s="44"/>
      <c r="D66" s="44"/>
      <c r="E66" s="44"/>
      <c r="F66" s="44"/>
      <c r="G66" s="44"/>
      <c r="H66" s="44"/>
      <c r="I66" s="44">
        <f>SUM(F66+G66)</f>
        <v>0</v>
      </c>
      <c r="J66" s="44">
        <f>SUM(F66+H66)</f>
        <v>0</v>
      </c>
      <c r="K66" s="45"/>
      <c r="L66" s="44">
        <f>IF(K66&gt;=(J66-M66),(IF(K66&lt;=(I66+M66),C66,0)),0)</f>
        <v>0</v>
      </c>
      <c r="M66" s="46"/>
    </row>
    <row r="67" spans="2:13">
      <c r="B67" s="22" t="s">
        <v>75</v>
      </c>
      <c r="C67" s="23">
        <f>SUM(C44:C66)</f>
        <v>7</v>
      </c>
      <c r="D67" s="23"/>
      <c r="E67" s="23"/>
      <c r="F67" s="23"/>
      <c r="G67" s="23"/>
      <c r="H67" s="23"/>
      <c r="I67" s="23"/>
      <c r="J67" s="23"/>
      <c r="K67" s="41"/>
      <c r="L67" s="23">
        <f>SUM(L44:L66)</f>
        <v>0</v>
      </c>
      <c r="M67" s="42"/>
    </row>
    <row r="68" spans="2:13">
      <c r="B68" s="24"/>
      <c r="C68" s="25"/>
      <c r="D68" s="25"/>
      <c r="E68" s="25"/>
      <c r="F68" s="25"/>
      <c r="G68" s="25"/>
      <c r="H68" s="25"/>
      <c r="I68" s="25"/>
      <c r="J68" s="25"/>
      <c r="K68" s="43"/>
      <c r="L68" s="25"/>
      <c r="M68" s="25"/>
    </row>
    <row r="69" spans="2:13">
      <c r="B69" s="97" t="s">
        <v>91</v>
      </c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38"/>
    </row>
    <row r="70" spans="2:13">
      <c r="B70" s="19">
        <v>1</v>
      </c>
      <c r="C70" s="20">
        <v>0.45</v>
      </c>
      <c r="D70" s="20" t="s">
        <v>63</v>
      </c>
      <c r="E70" s="20" t="s">
        <v>92</v>
      </c>
      <c r="F70" s="20" t="s">
        <v>93</v>
      </c>
      <c r="G70" s="20">
        <v>0.8</v>
      </c>
      <c r="H70" s="47">
        <v>1e-8</v>
      </c>
      <c r="I70" s="20">
        <f t="shared" ref="I70:I76" si="9">SUM(G70)</f>
        <v>0.8</v>
      </c>
      <c r="J70" s="47">
        <f t="shared" ref="J70:J76" si="10">SUM(H70)</f>
        <v>1e-8</v>
      </c>
      <c r="K70" s="39"/>
      <c r="L70" s="20">
        <f t="shared" ref="L70:L77" si="11">IF(K70&gt;=(J70-M70),(IF(K70&lt;=(I70+M70),C70,0)),0)</f>
        <v>0</v>
      </c>
      <c r="M70" s="40"/>
    </row>
    <row r="71" spans="2:13">
      <c r="B71" s="19">
        <v>2</v>
      </c>
      <c r="C71" s="20">
        <v>0.45</v>
      </c>
      <c r="D71" s="20" t="s">
        <v>63</v>
      </c>
      <c r="E71" s="20" t="s">
        <v>92</v>
      </c>
      <c r="F71" s="20" t="s">
        <v>93</v>
      </c>
      <c r="G71" s="20">
        <v>0.8</v>
      </c>
      <c r="H71" s="47">
        <v>1e-8</v>
      </c>
      <c r="I71" s="20">
        <f>SUM(G71)</f>
        <v>0.8</v>
      </c>
      <c r="J71" s="47">
        <f>SUM(H71)</f>
        <v>1e-8</v>
      </c>
      <c r="K71" s="39"/>
      <c r="L71" s="20">
        <f>IF(K71&gt;=(J71-M71),(IF(K71&lt;=(I71+M71),C71,0)),0)</f>
        <v>0</v>
      </c>
      <c r="M71" s="40"/>
    </row>
    <row r="72" spans="2:13">
      <c r="B72" s="19">
        <v>3</v>
      </c>
      <c r="C72" s="20">
        <v>0.45</v>
      </c>
      <c r="D72" s="20" t="s">
        <v>74</v>
      </c>
      <c r="E72" s="20" t="s">
        <v>92</v>
      </c>
      <c r="F72" s="20" t="s">
        <v>93</v>
      </c>
      <c r="G72" s="20">
        <v>0.8</v>
      </c>
      <c r="H72" s="47">
        <v>1e-8</v>
      </c>
      <c r="I72" s="20">
        <f>SUM(G72)</f>
        <v>0.8</v>
      </c>
      <c r="J72" s="47">
        <f>SUM(H72)</f>
        <v>1e-8</v>
      </c>
      <c r="K72" s="39"/>
      <c r="L72" s="20">
        <f>IF(K72&gt;=(J72-M72),(IF(K72&lt;=(I72+M72),C72,0)),0)</f>
        <v>0</v>
      </c>
      <c r="M72" s="40"/>
    </row>
    <row r="73" spans="2:13">
      <c r="B73" s="19">
        <v>4</v>
      </c>
      <c r="C73" s="20">
        <v>0.45</v>
      </c>
      <c r="D73" s="20" t="s">
        <v>88</v>
      </c>
      <c r="E73" s="20" t="s">
        <v>92</v>
      </c>
      <c r="F73" s="20" t="s">
        <v>93</v>
      </c>
      <c r="G73" s="20">
        <v>0.8</v>
      </c>
      <c r="H73" s="47">
        <v>1e-8</v>
      </c>
      <c r="I73" s="20">
        <f>SUM(G73)</f>
        <v>0.8</v>
      </c>
      <c r="J73" s="47">
        <f>SUM(H73)</f>
        <v>1e-8</v>
      </c>
      <c r="K73" s="39"/>
      <c r="L73" s="20">
        <f>IF(K73&gt;=(J73-M73),(IF(K73&lt;=(I73+M73),C73,0)),0)</f>
        <v>0</v>
      </c>
      <c r="M73" s="40"/>
    </row>
    <row r="74" spans="2:13">
      <c r="B74" s="19">
        <v>5</v>
      </c>
      <c r="C74" s="20">
        <v>0.4</v>
      </c>
      <c r="D74" s="20" t="s">
        <v>58</v>
      </c>
      <c r="E74" s="20" t="s">
        <v>92</v>
      </c>
      <c r="F74" s="20" t="s">
        <v>93</v>
      </c>
      <c r="G74" s="20">
        <v>0.8</v>
      </c>
      <c r="H74" s="47">
        <v>1e-8</v>
      </c>
      <c r="I74" s="20">
        <f>SUM(G74)</f>
        <v>0.8</v>
      </c>
      <c r="J74" s="47">
        <f>SUM(H74)</f>
        <v>1e-8</v>
      </c>
      <c r="K74" s="39"/>
      <c r="L74" s="20">
        <f>IF(K74&gt;=(J74-M74),(IF(K74&lt;=(I74+M74),C74,0)),0)</f>
        <v>0</v>
      </c>
      <c r="M74" s="40"/>
    </row>
    <row r="75" spans="2:13">
      <c r="B75" s="19">
        <v>6</v>
      </c>
      <c r="C75" s="20">
        <v>0.4</v>
      </c>
      <c r="D75" s="20" t="s">
        <v>67</v>
      </c>
      <c r="E75" s="20" t="s">
        <v>92</v>
      </c>
      <c r="F75" s="20" t="s">
        <v>93</v>
      </c>
      <c r="G75" s="20">
        <v>0.8</v>
      </c>
      <c r="H75" s="47">
        <v>1e-8</v>
      </c>
      <c r="I75" s="20">
        <f>SUM(G75)</f>
        <v>0.8</v>
      </c>
      <c r="J75" s="47">
        <f>SUM(H75)</f>
        <v>1e-8</v>
      </c>
      <c r="K75" s="39"/>
      <c r="L75" s="20">
        <f>IF(K75&gt;=(J75-M75),(IF(K75&lt;=(I75+M75),C75,0)),0)</f>
        <v>0</v>
      </c>
      <c r="M75" s="40"/>
    </row>
    <row r="76" spans="2:13">
      <c r="B76" s="19">
        <v>7</v>
      </c>
      <c r="C76" s="20">
        <v>0.4</v>
      </c>
      <c r="D76" s="20" t="s">
        <v>72</v>
      </c>
      <c r="E76" s="20" t="s">
        <v>92</v>
      </c>
      <c r="F76" s="20" t="s">
        <v>93</v>
      </c>
      <c r="G76" s="20">
        <v>0.8</v>
      </c>
      <c r="H76" s="47">
        <v>1e-8</v>
      </c>
      <c r="I76" s="20">
        <f>SUM(G76)</f>
        <v>0.8</v>
      </c>
      <c r="J76" s="47">
        <f>SUM(H76)</f>
        <v>1e-8</v>
      </c>
      <c r="K76" s="39"/>
      <c r="L76" s="20">
        <f>IF(K76&gt;=(J76-M76),(IF(K76&lt;=(I76+M76),C76,0)),0)</f>
        <v>0</v>
      </c>
      <c r="M76" s="40"/>
    </row>
    <row r="77" spans="2:13">
      <c r="B77" s="28">
        <v>8</v>
      </c>
      <c r="C77" s="44"/>
      <c r="D77" s="44"/>
      <c r="E77" s="44"/>
      <c r="F77" s="44"/>
      <c r="G77" s="44"/>
      <c r="H77" s="44"/>
      <c r="I77" s="44"/>
      <c r="J77" s="44"/>
      <c r="K77" s="45"/>
      <c r="L77" s="44">
        <f>IF(K77&gt;=(J77-M77),(IF(K77&lt;=(I77+M77),C77,0)),0)</f>
        <v>0</v>
      </c>
      <c r="M77" s="46"/>
    </row>
    <row r="78" spans="2:13">
      <c r="B78" s="22" t="s">
        <v>75</v>
      </c>
      <c r="C78" s="23">
        <f>SUM(C70:C77)</f>
        <v>3</v>
      </c>
      <c r="D78" s="23"/>
      <c r="E78" s="23"/>
      <c r="F78" s="23"/>
      <c r="G78" s="23"/>
      <c r="H78" s="23"/>
      <c r="I78" s="23"/>
      <c r="J78" s="23"/>
      <c r="K78" s="41"/>
      <c r="L78" s="23">
        <f>SUM(L70:L77)</f>
        <v>0</v>
      </c>
      <c r="M78" s="42"/>
    </row>
    <row r="79" spans="2:13">
      <c r="B79" s="24"/>
      <c r="C79" s="25"/>
      <c r="D79" s="25"/>
      <c r="E79" s="25"/>
      <c r="F79" s="25"/>
      <c r="G79" s="25"/>
      <c r="H79" s="25"/>
      <c r="I79" s="25"/>
      <c r="J79" s="25"/>
      <c r="K79" s="43"/>
      <c r="L79" s="25"/>
      <c r="M79" s="25"/>
    </row>
    <row r="80" spans="2:13">
      <c r="B80" s="17" t="s">
        <v>94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38"/>
    </row>
    <row r="81" spans="2:13">
      <c r="B81" s="19"/>
      <c r="C81" s="20"/>
      <c r="D81" s="20"/>
      <c r="E81" s="20"/>
      <c r="F81" s="20"/>
      <c r="G81" s="20">
        <v>1</v>
      </c>
      <c r="H81" s="20">
        <v>2</v>
      </c>
      <c r="I81" s="20">
        <v>3</v>
      </c>
      <c r="J81" s="20">
        <v>4</v>
      </c>
      <c r="K81" s="20">
        <v>5</v>
      </c>
      <c r="L81" s="20"/>
      <c r="M81" s="40"/>
    </row>
    <row r="82" spans="2:23">
      <c r="B82" s="19">
        <v>1</v>
      </c>
      <c r="C82" s="20">
        <v>0.8</v>
      </c>
      <c r="D82" s="48" t="s">
        <v>95</v>
      </c>
      <c r="E82" s="49"/>
      <c r="F82" s="50"/>
      <c r="G82" s="39"/>
      <c r="H82" s="39"/>
      <c r="I82" s="39"/>
      <c r="J82" s="39"/>
      <c r="K82" s="39"/>
      <c r="L82" s="20">
        <f t="shared" ref="L82:L87" si="12">SUM(C82*(W82-V82-U82)/30)</f>
        <v>0</v>
      </c>
      <c r="M82" s="40"/>
      <c r="O82">
        <f t="shared" ref="O82:S87" si="13">SUM(10-G82)</f>
        <v>10</v>
      </c>
      <c r="P82">
        <f>SUM(10-H82)</f>
        <v>10</v>
      </c>
      <c r="Q82">
        <f>SUM(10-I82)</f>
        <v>10</v>
      </c>
      <c r="R82">
        <f>SUM(10-J82)</f>
        <v>10</v>
      </c>
      <c r="S82">
        <f>SUM(10-K82)</f>
        <v>10</v>
      </c>
      <c r="T82">
        <f t="shared" ref="T82:T87" si="14">MAX(O82:S82)</f>
        <v>10</v>
      </c>
      <c r="U82">
        <f t="shared" ref="U82:U87" si="15">SUM(10-T82)</f>
        <v>0</v>
      </c>
      <c r="V82">
        <f t="shared" ref="V82:V87" si="16">MAX(G82:K82)</f>
        <v>0</v>
      </c>
      <c r="W82">
        <f t="shared" ref="W82:W87" si="17">SUM(G82:K82)</f>
        <v>0</v>
      </c>
    </row>
    <row r="83" spans="2:23">
      <c r="B83" s="19">
        <v>2</v>
      </c>
      <c r="C83" s="20">
        <v>0.5</v>
      </c>
      <c r="D83" s="48" t="s">
        <v>96</v>
      </c>
      <c r="E83" s="49"/>
      <c r="F83" s="50"/>
      <c r="G83" s="39"/>
      <c r="H83" s="39"/>
      <c r="I83" s="39"/>
      <c r="J83" s="39"/>
      <c r="K83" s="39"/>
      <c r="L83" s="20">
        <f>SUM(C83*(W83-V83-U83)/30)</f>
        <v>0</v>
      </c>
      <c r="M83" s="40"/>
      <c r="O83">
        <f>SUM(10-G83)</f>
        <v>10</v>
      </c>
      <c r="P83">
        <f>SUM(10-H83)</f>
        <v>10</v>
      </c>
      <c r="Q83">
        <f>SUM(10-I83)</f>
        <v>10</v>
      </c>
      <c r="R83">
        <f>SUM(10-J83)</f>
        <v>10</v>
      </c>
      <c r="S83">
        <f>SUM(10-K83)</f>
        <v>10</v>
      </c>
      <c r="T83">
        <f>MAX(O83:S83)</f>
        <v>10</v>
      </c>
      <c r="U83">
        <f>SUM(10-T83)</f>
        <v>0</v>
      </c>
      <c r="V83">
        <f>MAX(G83:K83)</f>
        <v>0</v>
      </c>
      <c r="W83">
        <f>SUM(G83:K83)</f>
        <v>0</v>
      </c>
    </row>
    <row r="84" spans="2:23">
      <c r="B84" s="19">
        <v>3</v>
      </c>
      <c r="C84" s="20">
        <v>0.6</v>
      </c>
      <c r="D84" s="48" t="s">
        <v>97</v>
      </c>
      <c r="E84" s="49"/>
      <c r="F84" s="50"/>
      <c r="G84" s="39"/>
      <c r="H84" s="39"/>
      <c r="I84" s="39"/>
      <c r="J84" s="39"/>
      <c r="K84" s="39"/>
      <c r="L84" s="20">
        <f>SUM(C84*(W84-V84-U84)/30)</f>
        <v>0</v>
      </c>
      <c r="M84" s="40"/>
      <c r="O84">
        <f>SUM(10-G84)</f>
        <v>10</v>
      </c>
      <c r="P84">
        <f>SUM(10-H84)</f>
        <v>10</v>
      </c>
      <c r="Q84">
        <f>SUM(10-I84)</f>
        <v>10</v>
      </c>
      <c r="R84">
        <f>SUM(10-J84)</f>
        <v>10</v>
      </c>
      <c r="S84">
        <f>SUM(10-K84)</f>
        <v>10</v>
      </c>
      <c r="T84">
        <f>MAX(O84:S84)</f>
        <v>10</v>
      </c>
      <c r="U84">
        <f>SUM(10-T84)</f>
        <v>0</v>
      </c>
      <c r="V84">
        <f>MAX(G84:K84)</f>
        <v>0</v>
      </c>
      <c r="W84">
        <f>SUM(G84:K84)</f>
        <v>0</v>
      </c>
    </row>
    <row r="85" spans="2:23">
      <c r="B85" s="19">
        <v>4</v>
      </c>
      <c r="C85" s="20">
        <v>0.7</v>
      </c>
      <c r="D85" s="48" t="s">
        <v>98</v>
      </c>
      <c r="E85" s="49"/>
      <c r="F85" s="50"/>
      <c r="G85" s="39"/>
      <c r="H85" s="39"/>
      <c r="I85" s="39"/>
      <c r="J85" s="39"/>
      <c r="K85" s="39"/>
      <c r="L85" s="20">
        <f>SUM(C85*(W85-V85-U85)/30)</f>
        <v>0</v>
      </c>
      <c r="M85" s="40"/>
      <c r="O85">
        <f>SUM(10-G85)</f>
        <v>10</v>
      </c>
      <c r="P85">
        <f>SUM(10-H85)</f>
        <v>10</v>
      </c>
      <c r="Q85">
        <f>SUM(10-I85)</f>
        <v>10</v>
      </c>
      <c r="R85">
        <f>SUM(10-J85)</f>
        <v>10</v>
      </c>
      <c r="S85">
        <f>SUM(10-K85)</f>
        <v>10</v>
      </c>
      <c r="T85">
        <f>MAX(O85:S85)</f>
        <v>10</v>
      </c>
      <c r="U85">
        <f>SUM(10-T85)</f>
        <v>0</v>
      </c>
      <c r="V85">
        <f>MAX(G85:K85)</f>
        <v>0</v>
      </c>
      <c r="W85">
        <f>SUM(G85:K85)</f>
        <v>0</v>
      </c>
    </row>
    <row r="86" spans="2:23">
      <c r="B86" s="51">
        <v>5</v>
      </c>
      <c r="C86" s="20">
        <v>0.7</v>
      </c>
      <c r="D86" s="48" t="s">
        <v>99</v>
      </c>
      <c r="E86" s="52"/>
      <c r="F86" s="53"/>
      <c r="G86" s="39"/>
      <c r="H86" s="39"/>
      <c r="I86" s="39"/>
      <c r="J86" s="39"/>
      <c r="K86" s="39"/>
      <c r="L86" s="20">
        <f>SUM(C86*(W86-V86-U86)/30)</f>
        <v>0</v>
      </c>
      <c r="M86" s="40"/>
      <c r="O86">
        <f>SUM(10-G86)</f>
        <v>10</v>
      </c>
      <c r="P86">
        <f>SUM(10-H86)</f>
        <v>10</v>
      </c>
      <c r="Q86">
        <f>SUM(10-I86)</f>
        <v>10</v>
      </c>
      <c r="R86">
        <f>SUM(10-J86)</f>
        <v>10</v>
      </c>
      <c r="S86">
        <f>SUM(10-K86)</f>
        <v>10</v>
      </c>
      <c r="T86">
        <f>MAX(O86:S86)</f>
        <v>10</v>
      </c>
      <c r="U86">
        <f>SUM(10-T86)</f>
        <v>0</v>
      </c>
      <c r="V86">
        <f>MAX(G86:K86)</f>
        <v>0</v>
      </c>
      <c r="W86">
        <f>SUM(G86:K86)</f>
        <v>0</v>
      </c>
    </row>
    <row r="87" spans="2:23">
      <c r="B87" s="51">
        <v>6</v>
      </c>
      <c r="C87" s="20"/>
      <c r="D87" s="21"/>
      <c r="E87" s="49"/>
      <c r="F87" s="50"/>
      <c r="G87" s="45"/>
      <c r="H87" s="45"/>
      <c r="I87" s="45"/>
      <c r="J87" s="45"/>
      <c r="K87" s="45"/>
      <c r="L87" s="20">
        <f>SUM(C87*(W87-V87-U87)/30)</f>
        <v>0</v>
      </c>
      <c r="M87" s="40"/>
      <c r="O87">
        <f>SUM(10-G87)</f>
        <v>10</v>
      </c>
      <c r="P87">
        <f>SUM(10-H87)</f>
        <v>10</v>
      </c>
      <c r="Q87">
        <f>SUM(10-I87)</f>
        <v>10</v>
      </c>
      <c r="R87">
        <f>SUM(10-J87)</f>
        <v>10</v>
      </c>
      <c r="S87">
        <f>SUM(10-K87)</f>
        <v>10</v>
      </c>
      <c r="T87">
        <f>MAX(O87:S87)</f>
        <v>10</v>
      </c>
      <c r="U87">
        <f>SUM(10-T87)</f>
        <v>0</v>
      </c>
      <c r="V87">
        <f>MAX(G87:K87)</f>
        <v>0</v>
      </c>
      <c r="W87">
        <f>SUM(G87:K87)</f>
        <v>0</v>
      </c>
    </row>
    <row r="88" spans="2:13">
      <c r="B88" s="51"/>
      <c r="C88" s="20"/>
      <c r="D88" s="54"/>
      <c r="E88" s="20"/>
      <c r="F88" s="20"/>
      <c r="G88" s="55" t="s">
        <v>100</v>
      </c>
      <c r="H88" s="55" t="s">
        <v>100</v>
      </c>
      <c r="I88" s="55" t="s">
        <v>100</v>
      </c>
      <c r="J88" s="55" t="s">
        <v>100</v>
      </c>
      <c r="K88" s="55" t="s">
        <v>100</v>
      </c>
      <c r="L88" s="20"/>
      <c r="M88" s="40"/>
    </row>
    <row r="89" spans="2:13">
      <c r="B89" s="51"/>
      <c r="C89" s="20"/>
      <c r="D89" s="20"/>
      <c r="E89" s="20"/>
      <c r="F89" s="20"/>
      <c r="G89" s="56"/>
      <c r="H89" s="56"/>
      <c r="I89" s="56"/>
      <c r="J89" s="56"/>
      <c r="K89" s="56"/>
      <c r="L89" s="20"/>
      <c r="M89" s="79"/>
    </row>
    <row r="90" spans="2:13">
      <c r="B90" s="51"/>
      <c r="C90" s="20"/>
      <c r="D90" s="20"/>
      <c r="E90" s="20"/>
      <c r="F90" s="20"/>
      <c r="G90" s="56"/>
      <c r="H90" s="56"/>
      <c r="I90" s="56"/>
      <c r="J90" s="56"/>
      <c r="K90" s="56"/>
      <c r="L90" s="20"/>
      <c r="M90" s="79"/>
    </row>
    <row r="91" spans="2:13">
      <c r="B91" s="51"/>
      <c r="C91" s="20"/>
      <c r="D91" s="20"/>
      <c r="E91" s="20"/>
      <c r="F91" s="20"/>
      <c r="G91" s="56"/>
      <c r="H91" s="56"/>
      <c r="I91" s="56"/>
      <c r="J91" s="56"/>
      <c r="K91" s="56"/>
      <c r="L91" s="20"/>
      <c r="M91" s="79"/>
    </row>
    <row r="92" spans="2:13">
      <c r="B92" s="51"/>
      <c r="C92" s="20"/>
      <c r="D92" s="20"/>
      <c r="E92" s="20"/>
      <c r="F92" s="20"/>
      <c r="G92" s="56"/>
      <c r="H92" s="56"/>
      <c r="I92" s="56"/>
      <c r="J92" s="56"/>
      <c r="K92" s="56"/>
      <c r="L92" s="20"/>
      <c r="M92" s="79"/>
    </row>
    <row r="93" spans="2:13">
      <c r="B93" s="57"/>
      <c r="C93" s="44"/>
      <c r="D93" s="44"/>
      <c r="E93" s="44"/>
      <c r="F93" s="44"/>
      <c r="G93" s="58"/>
      <c r="H93" s="58"/>
      <c r="I93" s="58"/>
      <c r="J93" s="58"/>
      <c r="K93" s="58"/>
      <c r="L93" s="44"/>
      <c r="M93" s="80"/>
    </row>
    <row r="94" spans="2:13">
      <c r="B94" s="59" t="s">
        <v>75</v>
      </c>
      <c r="C94" s="60">
        <f>SUM(C82:C93)</f>
        <v>3.3</v>
      </c>
      <c r="D94" s="23"/>
      <c r="E94" s="23"/>
      <c r="F94" s="23"/>
      <c r="G94" s="23"/>
      <c r="H94" s="23"/>
      <c r="I94" s="23"/>
      <c r="J94" s="23"/>
      <c r="K94" s="23"/>
      <c r="L94" s="60">
        <f>SUM(L82:L93)</f>
        <v>0</v>
      </c>
      <c r="M94" s="81"/>
    </row>
    <row r="95" spans="2:13"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1"/>
    </row>
    <row r="96" spans="2:13">
      <c r="B96" s="17" t="s">
        <v>101</v>
      </c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38"/>
    </row>
    <row r="97" spans="2:13">
      <c r="B97" s="28">
        <v>1</v>
      </c>
      <c r="C97" s="44">
        <v>2</v>
      </c>
      <c r="D97" s="61" t="s">
        <v>102</v>
      </c>
      <c r="E97" s="62"/>
      <c r="F97" s="63"/>
      <c r="G97" s="44"/>
      <c r="H97" s="44"/>
      <c r="I97" s="44"/>
      <c r="J97" s="44"/>
      <c r="K97" s="45"/>
      <c r="L97" s="44">
        <f>IF(K97=0,C97,(K97-1)*(-C97))</f>
        <v>2</v>
      </c>
      <c r="M97" s="46"/>
    </row>
    <row r="98" s="1" customFormat="1" spans="2:13">
      <c r="B98" s="64" t="s">
        <v>75</v>
      </c>
      <c r="C98" s="60">
        <f>SUM(C97)</f>
        <v>2</v>
      </c>
      <c r="D98" s="65"/>
      <c r="E98" s="65"/>
      <c r="F98" s="65"/>
      <c r="G98" s="66"/>
      <c r="H98" s="66"/>
      <c r="I98" s="66"/>
      <c r="J98" s="66"/>
      <c r="K98" s="66"/>
      <c r="L98" s="60">
        <f>SUM(L97)</f>
        <v>2</v>
      </c>
      <c r="M98" s="81"/>
    </row>
    <row r="99" s="1" customFormat="1" spans="2:12">
      <c r="B99" s="25"/>
      <c r="C99" s="25"/>
      <c r="G99" s="67"/>
      <c r="H99" s="67"/>
      <c r="I99" s="67"/>
      <c r="J99" s="67"/>
      <c r="K99" s="67"/>
      <c r="L99" s="25"/>
    </row>
    <row r="100" spans="2:13">
      <c r="B100" s="64"/>
      <c r="C100" s="60"/>
      <c r="D100" s="68"/>
      <c r="E100" s="23"/>
      <c r="F100" s="23"/>
      <c r="G100" s="23"/>
      <c r="H100" s="23"/>
      <c r="I100" s="82"/>
      <c r="J100" s="68" t="s">
        <v>103</v>
      </c>
      <c r="K100" s="82"/>
      <c r="L100" s="68" t="s">
        <v>104</v>
      </c>
      <c r="M100" s="42"/>
    </row>
    <row r="101" spans="2:13">
      <c r="B101" s="69"/>
      <c r="C101" s="70"/>
      <c r="D101" s="71" t="s">
        <v>105</v>
      </c>
      <c r="E101" s="72"/>
      <c r="F101" s="72"/>
      <c r="G101" s="72"/>
      <c r="H101" s="72"/>
      <c r="I101" s="83"/>
      <c r="J101" s="84"/>
      <c r="K101" s="85"/>
      <c r="L101" s="84"/>
      <c r="M101" s="86"/>
    </row>
    <row r="102" spans="2:13">
      <c r="B102" s="19"/>
      <c r="C102" s="20"/>
      <c r="D102" s="73" t="s">
        <v>106</v>
      </c>
      <c r="E102" s="74"/>
      <c r="F102" s="74"/>
      <c r="G102" s="74"/>
      <c r="H102" s="74"/>
      <c r="I102" s="87"/>
      <c r="J102" s="88"/>
      <c r="K102" s="89"/>
      <c r="L102" s="88"/>
      <c r="M102" s="90"/>
    </row>
    <row r="103" spans="2:13">
      <c r="B103" s="19"/>
      <c r="C103" s="20"/>
      <c r="D103" s="73" t="s">
        <v>107</v>
      </c>
      <c r="E103" s="74"/>
      <c r="F103" s="74"/>
      <c r="G103" s="74"/>
      <c r="H103" s="74"/>
      <c r="I103" s="87"/>
      <c r="J103" s="88"/>
      <c r="K103" s="89"/>
      <c r="L103" s="88"/>
      <c r="M103" s="90"/>
    </row>
    <row r="104" spans="2:13">
      <c r="B104" s="75"/>
      <c r="C104" s="76"/>
      <c r="D104" s="77" t="s">
        <v>108</v>
      </c>
      <c r="E104" s="78"/>
      <c r="F104" s="78"/>
      <c r="G104" s="78"/>
      <c r="H104" s="78"/>
      <c r="I104" s="91"/>
      <c r="J104" s="92"/>
      <c r="K104" s="93"/>
      <c r="L104" s="92"/>
      <c r="M104" s="94"/>
    </row>
  </sheetData>
  <protectedRanges>
    <protectedRange sqref="K97" name="区域5" securityDescriptor=""/>
    <protectedRange sqref="G82:K93" name="区域4" securityDescriptor=""/>
    <protectedRange sqref="K70:K76" name="区域3" securityDescriptor=""/>
    <protectedRange sqref="K44:K63" name="区域2" securityDescriptor=""/>
    <protectedRange sqref="K8:K30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82:F82"/>
    <mergeCell ref="D83:F83"/>
    <mergeCell ref="D84:F84"/>
    <mergeCell ref="D85:F85"/>
    <mergeCell ref="D86:F86"/>
    <mergeCell ref="D87:F87"/>
    <mergeCell ref="D97:F97"/>
    <mergeCell ref="D100:I100"/>
    <mergeCell ref="J100:K100"/>
    <mergeCell ref="L100:M100"/>
    <mergeCell ref="D101:I101"/>
    <mergeCell ref="J101:K101"/>
    <mergeCell ref="L101:M101"/>
    <mergeCell ref="D102:I102"/>
    <mergeCell ref="J102:K102"/>
    <mergeCell ref="L102:M102"/>
    <mergeCell ref="D103:I103"/>
    <mergeCell ref="J103:K103"/>
    <mergeCell ref="L103:M103"/>
    <mergeCell ref="D104:I104"/>
    <mergeCell ref="J104:K104"/>
    <mergeCell ref="L104:M104"/>
    <mergeCell ref="G88:G93"/>
    <mergeCell ref="H88:H93"/>
    <mergeCell ref="I88:I93"/>
    <mergeCell ref="J88:J93"/>
    <mergeCell ref="K88:K93"/>
    <mergeCell ref="B1:M2"/>
    <mergeCell ref="D88:F93"/>
  </mergeCells>
  <printOptions horizontalCentered="1"/>
  <pageMargins left="0.708333333333333" right="0.708333333333333" top="0.747916666666667" bottom="0.747916666666667" header="0.314583333333333" footer="0.314583333333333"/>
  <pageSetup paperSize="9" scale="9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W96"/>
  <sheetViews>
    <sheetView tabSelected="1" topLeftCell="A9" workbookViewId="0">
      <selection activeCell="I35" sqref="I35"/>
    </sheetView>
  </sheetViews>
  <sheetFormatPr defaultColWidth="9" defaultRowHeight="13.5"/>
  <cols>
    <col min="2" max="2" width="4.75" customWidth="1"/>
    <col min="3" max="3" width="5.125" customWidth="1"/>
    <col min="5" max="5" width="8.875" customWidth="1"/>
    <col min="6" max="6" width="9.875" customWidth="1"/>
    <col min="7" max="11" width="8.875" style="2" customWidth="1"/>
    <col min="12" max="13" width="6.625" customWidth="1"/>
    <col min="15" max="24" width="9" hidden="1" customWidth="1"/>
  </cols>
  <sheetData>
    <row r="1" ht="16.5" customHeight="1" spans="2:13">
      <c r="B1" s="3" t="s">
        <v>109</v>
      </c>
      <c r="C1" s="4"/>
      <c r="D1" s="4"/>
      <c r="E1" s="4"/>
      <c r="F1" s="4"/>
      <c r="G1" s="4"/>
      <c r="H1" s="4"/>
      <c r="I1" s="4"/>
      <c r="J1" s="4"/>
      <c r="K1" s="4"/>
      <c r="L1" s="4"/>
      <c r="M1" s="29"/>
    </row>
    <row r="2" ht="16.5" customHeight="1" spans="2:13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30"/>
    </row>
    <row r="3" ht="16.5" customHeight="1" spans="2:13">
      <c r="B3" s="7" t="s">
        <v>1</v>
      </c>
      <c r="C3" s="8"/>
      <c r="D3" s="9"/>
      <c r="E3" s="10" t="str">
        <f>T(成绩单!E4)</f>
        <v/>
      </c>
      <c r="F3" s="9"/>
      <c r="G3" s="10" t="s">
        <v>2</v>
      </c>
      <c r="H3" s="9"/>
      <c r="I3" s="10" t="str">
        <f>T(成绩单!I4)</f>
        <v/>
      </c>
      <c r="J3" s="9"/>
      <c r="K3" s="31"/>
      <c r="L3" s="32"/>
      <c r="M3" s="33"/>
    </row>
    <row r="4" ht="16.5" customHeight="1" spans="2:13">
      <c r="B4" s="11" t="s">
        <v>3</v>
      </c>
      <c r="C4" s="12"/>
      <c r="D4" s="13"/>
      <c r="E4" s="14" t="str">
        <f>T(成绩单!E5)</f>
        <v/>
      </c>
      <c r="F4" s="13"/>
      <c r="G4" s="14" t="s">
        <v>37</v>
      </c>
      <c r="H4" s="13"/>
      <c r="I4" s="34" t="s">
        <v>110</v>
      </c>
      <c r="J4" s="34"/>
      <c r="K4" s="35" t="s">
        <v>39</v>
      </c>
      <c r="L4" s="14">
        <f>SUM(L7:L89)</f>
        <v>2</v>
      </c>
      <c r="M4" s="36"/>
    </row>
    <row r="6" spans="2:13">
      <c r="B6" s="15" t="s">
        <v>40</v>
      </c>
      <c r="C6" s="16" t="s">
        <v>13</v>
      </c>
      <c r="D6" s="16" t="s">
        <v>41</v>
      </c>
      <c r="E6" s="16" t="s">
        <v>42</v>
      </c>
      <c r="F6" s="16" t="s">
        <v>43</v>
      </c>
      <c r="G6" s="16" t="s">
        <v>44</v>
      </c>
      <c r="H6" s="16" t="s">
        <v>45</v>
      </c>
      <c r="I6" s="16" t="s">
        <v>46</v>
      </c>
      <c r="J6" s="16" t="s">
        <v>47</v>
      </c>
      <c r="K6" s="16" t="s">
        <v>48</v>
      </c>
      <c r="L6" s="16" t="s">
        <v>49</v>
      </c>
      <c r="M6" s="37" t="s">
        <v>111</v>
      </c>
    </row>
    <row r="7" spans="2:13">
      <c r="B7" s="17" t="s">
        <v>51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38"/>
    </row>
    <row r="8" spans="2:13">
      <c r="B8" s="19">
        <v>1</v>
      </c>
      <c r="C8" s="20">
        <v>0.8</v>
      </c>
      <c r="D8" s="21" t="s">
        <v>88</v>
      </c>
      <c r="E8" s="20" t="s">
        <v>54</v>
      </c>
      <c r="F8" s="21">
        <v>107</v>
      </c>
      <c r="G8" s="21">
        <v>0.04</v>
      </c>
      <c r="H8" s="21">
        <v>0.02</v>
      </c>
      <c r="I8" s="20">
        <f>SUM(F8+G8)</f>
        <v>107.04</v>
      </c>
      <c r="J8" s="20">
        <f>SUM(F8+H8)</f>
        <v>107.02</v>
      </c>
      <c r="K8" s="39"/>
      <c r="L8" s="20">
        <f>IF(K8&gt;=(J8-M8),(IF(K8&lt;=(I8+M8),C8,0)),0)</f>
        <v>0</v>
      </c>
      <c r="M8" s="40"/>
    </row>
    <row r="9" spans="2:13">
      <c r="B9" s="19">
        <v>2</v>
      </c>
      <c r="C9" s="20">
        <v>0.9</v>
      </c>
      <c r="D9" s="21" t="s">
        <v>112</v>
      </c>
      <c r="E9" s="20" t="s">
        <v>69</v>
      </c>
      <c r="F9" s="21">
        <v>0.02</v>
      </c>
      <c r="G9" s="21">
        <v>0.02</v>
      </c>
      <c r="H9" s="21">
        <v>1e-7</v>
      </c>
      <c r="I9" s="20">
        <f>SUM(G9)</f>
        <v>0.02</v>
      </c>
      <c r="J9" s="20">
        <f>SUM(H9)</f>
        <v>1e-7</v>
      </c>
      <c r="K9" s="39"/>
      <c r="L9" s="20">
        <f t="shared" ref="L9:L40" si="0">IF(K9&gt;=(J9-M9),(IF(K9&lt;=(I9+M9),C9,0)),0)</f>
        <v>0</v>
      </c>
      <c r="M9" s="40"/>
    </row>
    <row r="10" spans="2:13">
      <c r="B10" s="19">
        <v>3</v>
      </c>
      <c r="C10" s="20">
        <v>0.8</v>
      </c>
      <c r="D10" s="21" t="s">
        <v>113</v>
      </c>
      <c r="E10" s="20" t="s">
        <v>54</v>
      </c>
      <c r="F10" s="21">
        <v>98</v>
      </c>
      <c r="G10" s="21">
        <v>-0.03</v>
      </c>
      <c r="H10" s="21">
        <v>-0.05</v>
      </c>
      <c r="I10" s="20">
        <f t="shared" ref="I10:I40" si="1">SUM(F10+G10)</f>
        <v>97.97</v>
      </c>
      <c r="J10" s="20">
        <f t="shared" ref="J10:J40" si="2">SUM(F10+H10)</f>
        <v>97.95</v>
      </c>
      <c r="K10" s="39"/>
      <c r="L10" s="20">
        <f>IF(K10&gt;=(J10-M10),(IF(K10&lt;=(I10+M10),C10,0)),0)</f>
        <v>0</v>
      </c>
      <c r="M10" s="40"/>
    </row>
    <row r="11" spans="2:13">
      <c r="B11" s="19">
        <v>4</v>
      </c>
      <c r="C11" s="20">
        <v>0.6</v>
      </c>
      <c r="D11" s="21" t="s">
        <v>114</v>
      </c>
      <c r="E11" s="20" t="s">
        <v>54</v>
      </c>
      <c r="F11" s="21">
        <v>148</v>
      </c>
      <c r="G11" s="21">
        <v>0.02</v>
      </c>
      <c r="H11" s="21">
        <v>0</v>
      </c>
      <c r="I11" s="20">
        <f>SUM(F11+G11)</f>
        <v>148.02</v>
      </c>
      <c r="J11" s="20">
        <f>SUM(F11+H11)</f>
        <v>148</v>
      </c>
      <c r="K11" s="39"/>
      <c r="L11" s="20">
        <f>IF(K11&gt;=(J11-M11),(IF(K11&lt;=(I11+M11),C11,0)),0)</f>
        <v>0</v>
      </c>
      <c r="M11" s="40"/>
    </row>
    <row r="12" spans="2:13">
      <c r="B12" s="19">
        <v>5</v>
      </c>
      <c r="C12" s="20">
        <v>0.6</v>
      </c>
      <c r="D12" s="21" t="s">
        <v>66</v>
      </c>
      <c r="E12" s="20" t="s">
        <v>54</v>
      </c>
      <c r="F12" s="21">
        <v>20</v>
      </c>
      <c r="G12" s="21">
        <v>0.1</v>
      </c>
      <c r="H12" s="21">
        <v>0.08</v>
      </c>
      <c r="I12" s="20">
        <f>SUM(F12+G12)</f>
        <v>20.1</v>
      </c>
      <c r="J12" s="20">
        <f>SUM(F12+H12)</f>
        <v>20.08</v>
      </c>
      <c r="K12" s="39"/>
      <c r="L12" s="20">
        <f>IF(K12&gt;=(J12-M12),(IF(K12&lt;=(I12+M12),C12,0)),0)</f>
        <v>0</v>
      </c>
      <c r="M12" s="40"/>
    </row>
    <row r="13" spans="2:13">
      <c r="B13" s="19">
        <v>6</v>
      </c>
      <c r="C13" s="20">
        <v>0.6</v>
      </c>
      <c r="D13" s="21" t="s">
        <v>89</v>
      </c>
      <c r="E13" s="20" t="s">
        <v>54</v>
      </c>
      <c r="F13" s="21">
        <v>68</v>
      </c>
      <c r="G13" s="21">
        <v>0.03</v>
      </c>
      <c r="H13" s="21">
        <v>0.01</v>
      </c>
      <c r="I13" s="20">
        <f>SUM(F13+G13)</f>
        <v>68.03</v>
      </c>
      <c r="J13" s="20">
        <f>SUM(F13+H13)</f>
        <v>68.01</v>
      </c>
      <c r="K13" s="39"/>
      <c r="L13" s="20">
        <f>IF(K13&gt;=(J13-M13),(IF(K13&lt;=(I13+M13),C13,0)),0)</f>
        <v>0</v>
      </c>
      <c r="M13" s="40"/>
    </row>
    <row r="14" spans="2:13">
      <c r="B14" s="19">
        <v>7</v>
      </c>
      <c r="C14" s="20">
        <v>0.6</v>
      </c>
      <c r="D14" s="21" t="s">
        <v>84</v>
      </c>
      <c r="E14" s="20" t="s">
        <v>54</v>
      </c>
      <c r="F14" s="21">
        <v>24</v>
      </c>
      <c r="G14" s="21">
        <v>0.06</v>
      </c>
      <c r="H14" s="21">
        <v>0.04</v>
      </c>
      <c r="I14" s="20">
        <f>SUM(F14+G14)</f>
        <v>24.06</v>
      </c>
      <c r="J14" s="20">
        <f>SUM(F14+H14)</f>
        <v>24.04</v>
      </c>
      <c r="K14" s="39"/>
      <c r="L14" s="20">
        <f>IF(K14&gt;=(J14-M14),(IF(K14&lt;=(I14+M14),C14,0)),0)</f>
        <v>0</v>
      </c>
      <c r="M14" s="40"/>
    </row>
    <row r="15" spans="2:13">
      <c r="B15" s="19">
        <v>8</v>
      </c>
      <c r="C15" s="20">
        <v>0.6</v>
      </c>
      <c r="D15" s="21" t="s">
        <v>87</v>
      </c>
      <c r="E15" s="20" t="s">
        <v>54</v>
      </c>
      <c r="F15" s="21">
        <v>15</v>
      </c>
      <c r="G15" s="21">
        <v>0</v>
      </c>
      <c r="H15" s="21">
        <v>-0.02</v>
      </c>
      <c r="I15" s="20">
        <f>SUM(F15+G15)</f>
        <v>15</v>
      </c>
      <c r="J15" s="20">
        <f>SUM(F15+H15)</f>
        <v>14.98</v>
      </c>
      <c r="K15" s="39"/>
      <c r="L15" s="20">
        <f>IF(K15&gt;=(J15-M15),(IF(K15&lt;=(I15+M15),C15,0)),0)</f>
        <v>0</v>
      </c>
      <c r="M15" s="40"/>
    </row>
    <row r="16" spans="2:13">
      <c r="B16" s="19">
        <v>9</v>
      </c>
      <c r="C16" s="20">
        <v>0.65</v>
      </c>
      <c r="D16" s="21" t="s">
        <v>61</v>
      </c>
      <c r="E16" s="20" t="s">
        <v>60</v>
      </c>
      <c r="F16" s="21">
        <v>10</v>
      </c>
      <c r="G16" s="21">
        <v>0.015</v>
      </c>
      <c r="H16" s="21">
        <v>0</v>
      </c>
      <c r="I16" s="20">
        <f>SUM(F16+G16)</f>
        <v>10.015</v>
      </c>
      <c r="J16" s="20">
        <f>SUM(F16+H16)</f>
        <v>10</v>
      </c>
      <c r="K16" s="39"/>
      <c r="L16" s="20">
        <f>IF(K16&gt;=(J16-M16),(IF(K16&lt;=(I16+M16),C16,0)),0)</f>
        <v>0</v>
      </c>
      <c r="M16" s="40"/>
    </row>
    <row r="17" spans="2:13">
      <c r="B17" s="19">
        <v>10</v>
      </c>
      <c r="C17" s="20">
        <v>0.65</v>
      </c>
      <c r="D17" s="21" t="s">
        <v>115</v>
      </c>
      <c r="E17" s="20" t="s">
        <v>60</v>
      </c>
      <c r="F17" s="21">
        <v>30</v>
      </c>
      <c r="G17" s="21">
        <v>0.02</v>
      </c>
      <c r="H17" s="21">
        <v>0</v>
      </c>
      <c r="I17" s="20">
        <f>SUM(F17+G17)</f>
        <v>30.02</v>
      </c>
      <c r="J17" s="20">
        <f>SUM(F17+H17)</f>
        <v>30</v>
      </c>
      <c r="K17" s="39"/>
      <c r="L17" s="20">
        <f>IF(K17&gt;=(J17-M17),(IF(K17&lt;=(I17+M17),C17,0)),0)</f>
        <v>0</v>
      </c>
      <c r="M17" s="40"/>
    </row>
    <row r="18" spans="2:13">
      <c r="B18" s="19">
        <v>11</v>
      </c>
      <c r="C18" s="20">
        <v>0.6</v>
      </c>
      <c r="D18" s="21" t="s">
        <v>116</v>
      </c>
      <c r="E18" s="20" t="s">
        <v>54</v>
      </c>
      <c r="F18" s="21">
        <v>88</v>
      </c>
      <c r="G18" s="21">
        <v>0.04</v>
      </c>
      <c r="H18" s="21">
        <v>0.02</v>
      </c>
      <c r="I18" s="20">
        <f>SUM(F18+G18)</f>
        <v>88.04</v>
      </c>
      <c r="J18" s="20">
        <f>SUM(F18+H18)</f>
        <v>88.02</v>
      </c>
      <c r="K18" s="39"/>
      <c r="L18" s="20">
        <f>IF(K18&gt;=(J18-M18),(IF(K18&lt;=(I18+M18),C18,0)),0)</f>
        <v>0</v>
      </c>
      <c r="M18" s="40"/>
    </row>
    <row r="19" spans="2:13">
      <c r="B19" s="19">
        <v>12</v>
      </c>
      <c r="C19" s="20">
        <v>0.6</v>
      </c>
      <c r="D19" s="21" t="s">
        <v>61</v>
      </c>
      <c r="E19" s="20" t="s">
        <v>54</v>
      </c>
      <c r="F19" s="21">
        <v>10</v>
      </c>
      <c r="G19" s="21">
        <v>0</v>
      </c>
      <c r="H19" s="21">
        <v>-0.02</v>
      </c>
      <c r="I19" s="20">
        <f>SUM(F19+G19)</f>
        <v>10</v>
      </c>
      <c r="J19" s="20">
        <f>SUM(F19+H19)</f>
        <v>9.98</v>
      </c>
      <c r="K19" s="39"/>
      <c r="L19" s="20">
        <f>IF(K19&gt;=(J19-M19),(IF(K19&lt;=(I19+M19),C19,0)),0)</f>
        <v>0</v>
      </c>
      <c r="M19" s="40"/>
    </row>
    <row r="20" spans="2:13">
      <c r="B20" s="19">
        <v>13</v>
      </c>
      <c r="C20" s="20">
        <v>0.6</v>
      </c>
      <c r="D20" s="21" t="s">
        <v>73</v>
      </c>
      <c r="E20" s="20" t="s">
        <v>60</v>
      </c>
      <c r="F20" s="21">
        <v>24</v>
      </c>
      <c r="G20" s="21">
        <v>0.02</v>
      </c>
      <c r="H20" s="21">
        <v>0</v>
      </c>
      <c r="I20" s="20">
        <f>SUM(F20+G20)</f>
        <v>24.02</v>
      </c>
      <c r="J20" s="20">
        <f>SUM(F20+H20)</f>
        <v>24</v>
      </c>
      <c r="K20" s="39"/>
      <c r="L20" s="20">
        <f>IF(K20&gt;=(J20-M20),(IF(K20&lt;=(I20+M20),C20,0)),0)</f>
        <v>0</v>
      </c>
      <c r="M20" s="40"/>
    </row>
    <row r="21" spans="2:13">
      <c r="B21" s="19">
        <v>14</v>
      </c>
      <c r="C21" s="20">
        <v>0.6</v>
      </c>
      <c r="D21" s="21" t="s">
        <v>117</v>
      </c>
      <c r="E21" s="20" t="s">
        <v>60</v>
      </c>
      <c r="F21" s="21">
        <v>24</v>
      </c>
      <c r="G21" s="21">
        <v>0</v>
      </c>
      <c r="H21" s="21">
        <v>-0.02</v>
      </c>
      <c r="I21" s="20">
        <f>SUM(F21+G21)</f>
        <v>24</v>
      </c>
      <c r="J21" s="20">
        <f>SUM(F21+H21)</f>
        <v>23.98</v>
      </c>
      <c r="K21" s="39"/>
      <c r="L21" s="20">
        <f>IF(K21&gt;=(J21-M21),(IF(K21&lt;=(I21+M21),C21,0)),0)</f>
        <v>0</v>
      </c>
      <c r="M21" s="40"/>
    </row>
    <row r="22" spans="2:13">
      <c r="B22" s="19">
        <v>15</v>
      </c>
      <c r="C22" s="20">
        <v>0.6</v>
      </c>
      <c r="D22" s="21" t="s">
        <v>71</v>
      </c>
      <c r="E22" s="20" t="s">
        <v>54</v>
      </c>
      <c r="F22" s="21">
        <v>14</v>
      </c>
      <c r="G22" s="21">
        <v>0.05</v>
      </c>
      <c r="H22" s="21">
        <v>0.03</v>
      </c>
      <c r="I22" s="20">
        <f>SUM(F22+G22)</f>
        <v>14.05</v>
      </c>
      <c r="J22" s="20">
        <f>SUM(F22+H22)</f>
        <v>14.03</v>
      </c>
      <c r="K22" s="39"/>
      <c r="L22" s="20">
        <f>IF(K22&gt;=(J22-M22),(IF(K22&lt;=(I22+M22),C22,0)),0)</f>
        <v>0</v>
      </c>
      <c r="M22" s="40"/>
    </row>
    <row r="23" spans="2:13">
      <c r="B23" s="19">
        <v>16</v>
      </c>
      <c r="C23" s="20">
        <v>0.6</v>
      </c>
      <c r="D23" s="21" t="s">
        <v>90</v>
      </c>
      <c r="E23" s="20" t="s">
        <v>54</v>
      </c>
      <c r="F23" s="21">
        <v>38</v>
      </c>
      <c r="G23" s="21">
        <v>-0.04</v>
      </c>
      <c r="H23" s="21">
        <v>-0.06</v>
      </c>
      <c r="I23" s="20">
        <f>SUM(F23+G23)</f>
        <v>37.96</v>
      </c>
      <c r="J23" s="20">
        <f>SUM(F23+H23)</f>
        <v>37.94</v>
      </c>
      <c r="K23" s="39"/>
      <c r="L23" s="20">
        <f>IF(K23&gt;=(J23-M23),(IF(K23&lt;=(I23+M23),C23,0)),0)</f>
        <v>0</v>
      </c>
      <c r="M23" s="40"/>
    </row>
    <row r="24" spans="2:13">
      <c r="B24" s="19">
        <v>17</v>
      </c>
      <c r="C24" s="20">
        <v>0.6</v>
      </c>
      <c r="D24" s="21" t="s">
        <v>88</v>
      </c>
      <c r="E24" s="20" t="s">
        <v>54</v>
      </c>
      <c r="F24" s="21">
        <v>80</v>
      </c>
      <c r="G24" s="21">
        <v>0.03</v>
      </c>
      <c r="H24" s="21">
        <v>0.01</v>
      </c>
      <c r="I24" s="20">
        <f>SUM(F24+G24)</f>
        <v>80.03</v>
      </c>
      <c r="J24" s="20">
        <f>SUM(F24+H24)</f>
        <v>80.01</v>
      </c>
      <c r="K24" s="39"/>
      <c r="L24" s="20">
        <f>IF(K24&gt;=(J24-M24),(IF(K24&lt;=(I24+M24),C24,0)),0)</f>
        <v>0</v>
      </c>
      <c r="M24" s="40"/>
    </row>
    <row r="25" spans="2:13">
      <c r="B25" s="19">
        <v>18</v>
      </c>
      <c r="C25" s="20">
        <v>0.6</v>
      </c>
      <c r="D25" s="21" t="s">
        <v>71</v>
      </c>
      <c r="E25" s="20" t="s">
        <v>54</v>
      </c>
      <c r="F25" s="21">
        <v>16</v>
      </c>
      <c r="G25" s="21">
        <v>-0.03</v>
      </c>
      <c r="H25" s="21">
        <v>-0.05</v>
      </c>
      <c r="I25" s="20">
        <f>SUM(F25+G25)</f>
        <v>15.97</v>
      </c>
      <c r="J25" s="20">
        <f>SUM(F25+H25)</f>
        <v>15.95</v>
      </c>
      <c r="K25" s="39"/>
      <c r="L25" s="20">
        <f>IF(K25&gt;=(J25-M25),(IF(K25&lt;=(I25+M25),C25,0)),0)</f>
        <v>0</v>
      </c>
      <c r="M25" s="40"/>
    </row>
    <row r="26" spans="2:13">
      <c r="B26" s="19">
        <v>19</v>
      </c>
      <c r="C26" s="20">
        <v>0.7</v>
      </c>
      <c r="D26" s="21" t="s">
        <v>114</v>
      </c>
      <c r="E26" s="20" t="s">
        <v>54</v>
      </c>
      <c r="F26" s="21">
        <v>58</v>
      </c>
      <c r="G26" s="21">
        <v>-0.08</v>
      </c>
      <c r="H26" s="21">
        <v>-0.1</v>
      </c>
      <c r="I26" s="20">
        <f>SUM(F26+G26)</f>
        <v>57.92</v>
      </c>
      <c r="J26" s="20">
        <f>SUM(F26+H26)</f>
        <v>57.9</v>
      </c>
      <c r="K26" s="39"/>
      <c r="L26" s="20">
        <f>IF(K26&gt;=(J26-M26),(IF(K26&lt;=(I26+M26),C26,0)),0)</f>
        <v>0</v>
      </c>
      <c r="M26" s="40"/>
    </row>
    <row r="27" spans="2:13">
      <c r="B27" s="19">
        <v>20</v>
      </c>
      <c r="C27" s="20">
        <v>0.6</v>
      </c>
      <c r="D27" s="21" t="s">
        <v>89</v>
      </c>
      <c r="E27" s="20" t="s">
        <v>54</v>
      </c>
      <c r="F27" s="21">
        <v>10</v>
      </c>
      <c r="G27" s="21">
        <v>0</v>
      </c>
      <c r="H27" s="21">
        <v>-0.02</v>
      </c>
      <c r="I27" s="20">
        <f>SUM(F27+G27)</f>
        <v>10</v>
      </c>
      <c r="J27" s="20">
        <f>SUM(F27+H27)</f>
        <v>9.98</v>
      </c>
      <c r="K27" s="39"/>
      <c r="L27" s="20">
        <f>IF(K27&gt;=(J27-M27),(IF(K27&lt;=(I27+M27),C27,0)),0)</f>
        <v>0</v>
      </c>
      <c r="M27" s="40"/>
    </row>
    <row r="28" spans="2:13">
      <c r="B28" s="19">
        <v>21</v>
      </c>
      <c r="C28" s="20">
        <v>0.6</v>
      </c>
      <c r="D28" s="21" t="s">
        <v>88</v>
      </c>
      <c r="E28" s="20" t="s">
        <v>54</v>
      </c>
      <c r="F28" s="21">
        <v>70</v>
      </c>
      <c r="G28" s="21">
        <v>0</v>
      </c>
      <c r="H28" s="21">
        <v>-0.02</v>
      </c>
      <c r="I28" s="20">
        <f>SUM(F28+G28)</f>
        <v>70</v>
      </c>
      <c r="J28" s="20">
        <f>SUM(F28+H28)</f>
        <v>69.98</v>
      </c>
      <c r="K28" s="39"/>
      <c r="L28" s="20">
        <f>IF(K28&gt;=(J28-M28),(IF(K28&lt;=(I28+M28),C28,0)),0)</f>
        <v>0</v>
      </c>
      <c r="M28" s="40"/>
    </row>
    <row r="29" spans="2:13">
      <c r="B29" s="19">
        <v>22</v>
      </c>
      <c r="C29" s="20">
        <v>0.9</v>
      </c>
      <c r="D29" s="21" t="s">
        <v>90</v>
      </c>
      <c r="E29" s="20" t="s">
        <v>54</v>
      </c>
      <c r="F29" s="21">
        <v>31</v>
      </c>
      <c r="G29" s="21">
        <v>-0.02</v>
      </c>
      <c r="H29" s="21">
        <v>-0.04</v>
      </c>
      <c r="I29" s="20">
        <v>30.98</v>
      </c>
      <c r="J29" s="20">
        <v>30.96</v>
      </c>
      <c r="K29" s="39"/>
      <c r="L29" s="20">
        <f>IF(K29&gt;=(J29-M29),(IF(K29&lt;=(I29+M29),C29,0)),0)</f>
        <v>0</v>
      </c>
      <c r="M29" s="40"/>
    </row>
    <row r="30" spans="2:13">
      <c r="B30" s="19">
        <v>23</v>
      </c>
      <c r="C30" s="20">
        <v>0.6</v>
      </c>
      <c r="D30" s="21" t="s">
        <v>70</v>
      </c>
      <c r="E30" s="20" t="s">
        <v>54</v>
      </c>
      <c r="F30" s="21">
        <v>94</v>
      </c>
      <c r="G30" s="21">
        <v>0.1</v>
      </c>
      <c r="H30" s="21">
        <v>0.08</v>
      </c>
      <c r="I30" s="20">
        <f>SUM(F30+G30)</f>
        <v>94.1</v>
      </c>
      <c r="J30" s="20">
        <f>SUM(F30+H30)</f>
        <v>94.08</v>
      </c>
      <c r="K30" s="39"/>
      <c r="L30" s="20">
        <f>IF(K30&gt;=(J30-M30),(IF(K30&lt;=(I30+M30),C30,0)),0)</f>
        <v>0</v>
      </c>
      <c r="M30" s="40"/>
    </row>
    <row r="31" spans="2:13">
      <c r="B31" s="19">
        <v>24</v>
      </c>
      <c r="C31" s="20">
        <v>0.6</v>
      </c>
      <c r="D31" s="21" t="s">
        <v>72</v>
      </c>
      <c r="E31" s="20" t="s">
        <v>54</v>
      </c>
      <c r="F31" s="21">
        <v>22</v>
      </c>
      <c r="G31" s="21">
        <v>0.06</v>
      </c>
      <c r="H31" s="21">
        <v>0.04</v>
      </c>
      <c r="I31" s="20">
        <f>SUM(F31+G31)</f>
        <v>22.06</v>
      </c>
      <c r="J31" s="20">
        <f>SUM(F31+H31)</f>
        <v>22.04</v>
      </c>
      <c r="K31" s="39"/>
      <c r="L31" s="20">
        <f>IF(K31&gt;=(J31-M31),(IF(K31&lt;=(I31+M31),C31,0)),0)</f>
        <v>0</v>
      </c>
      <c r="M31" s="40"/>
    </row>
    <row r="32" spans="2:13">
      <c r="B32" s="19">
        <v>25</v>
      </c>
      <c r="C32" s="20">
        <v>0.6</v>
      </c>
      <c r="D32" s="21" t="s">
        <v>114</v>
      </c>
      <c r="E32" s="20" t="s">
        <v>54</v>
      </c>
      <c r="F32" s="21">
        <v>12</v>
      </c>
      <c r="G32" s="21">
        <v>0.2</v>
      </c>
      <c r="H32" s="21">
        <v>0.18</v>
      </c>
      <c r="I32" s="20">
        <f>SUM(F32+G32)</f>
        <v>12.2</v>
      </c>
      <c r="J32" s="20">
        <f>SUM(F32+H32)</f>
        <v>12.18</v>
      </c>
      <c r="K32" s="39"/>
      <c r="L32" s="20">
        <f>IF(K32&gt;=(J32-M32),(IF(K32&lt;=(I32+M32),C32,0)),0)</f>
        <v>0</v>
      </c>
      <c r="M32" s="40"/>
    </row>
    <row r="33" spans="2:13">
      <c r="B33" s="19">
        <v>26</v>
      </c>
      <c r="C33" s="20">
        <v>0.6</v>
      </c>
      <c r="D33" s="21" t="s">
        <v>118</v>
      </c>
      <c r="E33" s="20" t="s">
        <v>54</v>
      </c>
      <c r="F33" s="21">
        <v>30</v>
      </c>
      <c r="G33" s="21">
        <v>0.02</v>
      </c>
      <c r="H33" s="21">
        <v>0</v>
      </c>
      <c r="I33" s="20">
        <f>SUM(F33+G33)</f>
        <v>30.02</v>
      </c>
      <c r="J33" s="20">
        <f>SUM(F33+H33)</f>
        <v>30</v>
      </c>
      <c r="K33" s="39"/>
      <c r="L33" s="20">
        <f>IF(K33&gt;=(J33-M33),(IF(K33&lt;=(I33+M33),C33,0)),0)</f>
        <v>0</v>
      </c>
      <c r="M33" s="40"/>
    </row>
    <row r="34" spans="2:13">
      <c r="B34" s="19">
        <v>27</v>
      </c>
      <c r="C34" s="20">
        <v>0.6</v>
      </c>
      <c r="D34" s="21" t="s">
        <v>84</v>
      </c>
      <c r="E34" s="20" t="s">
        <v>54</v>
      </c>
      <c r="F34" s="21">
        <v>44</v>
      </c>
      <c r="G34" s="21">
        <v>0.03</v>
      </c>
      <c r="H34" s="21">
        <v>0.01</v>
      </c>
      <c r="I34" s="20">
        <f>SUM(F34+G34)</f>
        <v>44.03</v>
      </c>
      <c r="J34" s="20">
        <f>SUM(F34+H34)</f>
        <v>44.01</v>
      </c>
      <c r="K34" s="39"/>
      <c r="L34" s="20">
        <f>IF(K34&gt;=(J34-M34),(IF(K34&lt;=(I34+M34),C34,0)),0)</f>
        <v>0</v>
      </c>
      <c r="M34" s="40"/>
    </row>
    <row r="35" spans="2:13">
      <c r="B35" s="19">
        <v>28</v>
      </c>
      <c r="C35" s="20">
        <v>0.6</v>
      </c>
      <c r="D35" s="21" t="s">
        <v>72</v>
      </c>
      <c r="E35" s="20" t="s">
        <v>54</v>
      </c>
      <c r="F35" s="21">
        <v>25</v>
      </c>
      <c r="G35" s="21">
        <v>0.04</v>
      </c>
      <c r="H35" s="21">
        <v>0.02</v>
      </c>
      <c r="I35" s="20">
        <f>SUM(F35+G35)</f>
        <v>25.04</v>
      </c>
      <c r="J35" s="20">
        <f>SUM(F35+H35)</f>
        <v>25.02</v>
      </c>
      <c r="K35" s="39"/>
      <c r="L35" s="20">
        <f>IF(K35&gt;=(J35-M35),(IF(K35&lt;=(I35+M35),C35,0)),0)</f>
        <v>0</v>
      </c>
      <c r="M35" s="40"/>
    </row>
    <row r="36" spans="2:13">
      <c r="B36" s="22" t="s">
        <v>75</v>
      </c>
      <c r="C36" s="23">
        <f>SUM(C8:C35)</f>
        <v>18</v>
      </c>
      <c r="D36" s="23"/>
      <c r="E36" s="23"/>
      <c r="F36" s="23"/>
      <c r="G36" s="23"/>
      <c r="H36" s="23"/>
      <c r="I36" s="23"/>
      <c r="J36" s="23"/>
      <c r="K36" s="41"/>
      <c r="L36" s="41">
        <f>SUM(L8:L35)</f>
        <v>0</v>
      </c>
      <c r="M36" s="42"/>
    </row>
    <row r="37" spans="2:13">
      <c r="B37" s="24"/>
      <c r="C37" s="25"/>
      <c r="D37" s="25"/>
      <c r="E37" s="25"/>
      <c r="F37" s="25"/>
      <c r="G37" s="25"/>
      <c r="H37" s="25"/>
      <c r="I37" s="25"/>
      <c r="J37" s="25"/>
      <c r="K37" s="43"/>
      <c r="L37" s="43"/>
      <c r="M37" s="25"/>
    </row>
    <row r="38" spans="2:13">
      <c r="B38" s="17" t="s">
        <v>76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38"/>
    </row>
    <row r="39" spans="2:13">
      <c r="B39" s="19">
        <v>1</v>
      </c>
      <c r="C39" s="20">
        <v>0.7</v>
      </c>
      <c r="D39" s="26" t="s">
        <v>62</v>
      </c>
      <c r="E39" s="20" t="s">
        <v>77</v>
      </c>
      <c r="F39" s="20" t="s">
        <v>119</v>
      </c>
      <c r="G39" s="20"/>
      <c r="H39" s="20"/>
      <c r="I39" s="20" t="s">
        <v>79</v>
      </c>
      <c r="J39" s="20" t="s">
        <v>80</v>
      </c>
      <c r="K39" s="39"/>
      <c r="L39" s="20">
        <f t="shared" ref="L39:L42" si="3">IF(K39=I39,(IF(K39&lt;&gt;J39,C39,0)),0)</f>
        <v>0</v>
      </c>
      <c r="M39" s="40"/>
    </row>
    <row r="40" spans="2:13">
      <c r="B40" s="19">
        <v>2</v>
      </c>
      <c r="C40" s="20">
        <v>0.5</v>
      </c>
      <c r="D40" s="26" t="s">
        <v>120</v>
      </c>
      <c r="E40" s="20" t="s">
        <v>77</v>
      </c>
      <c r="F40" s="20" t="s">
        <v>81</v>
      </c>
      <c r="G40" s="20"/>
      <c r="H40" s="20"/>
      <c r="I40" s="20" t="s">
        <v>79</v>
      </c>
      <c r="J40" s="20" t="s">
        <v>80</v>
      </c>
      <c r="K40" s="39"/>
      <c r="L40" s="20">
        <f>IF(K40=I40,(IF(K40&lt;&gt;J40,C40,0)),0)</f>
        <v>0</v>
      </c>
      <c r="M40" s="40"/>
    </row>
    <row r="41" spans="2:13">
      <c r="B41" s="19">
        <v>3</v>
      </c>
      <c r="C41" s="20">
        <v>0.7</v>
      </c>
      <c r="D41" s="26" t="s">
        <v>87</v>
      </c>
      <c r="E41" s="20" t="s">
        <v>77</v>
      </c>
      <c r="F41" s="20" t="s">
        <v>121</v>
      </c>
      <c r="G41" s="20"/>
      <c r="H41" s="20"/>
      <c r="I41" s="20" t="s">
        <v>79</v>
      </c>
      <c r="J41" s="20" t="s">
        <v>80</v>
      </c>
      <c r="K41" s="39"/>
      <c r="L41" s="20">
        <f>IF(K41=I41,(IF(K41&lt;&gt;J41,C41,0)),0)</f>
        <v>0</v>
      </c>
      <c r="M41" s="40"/>
    </row>
    <row r="42" spans="2:13">
      <c r="B42" s="19">
        <v>4</v>
      </c>
      <c r="C42" s="21">
        <v>0.35</v>
      </c>
      <c r="D42" s="27" t="s">
        <v>64</v>
      </c>
      <c r="E42" s="20" t="s">
        <v>77</v>
      </c>
      <c r="F42" s="20" t="s">
        <v>122</v>
      </c>
      <c r="G42" s="20"/>
      <c r="H42" s="20"/>
      <c r="I42" s="20" t="s">
        <v>79</v>
      </c>
      <c r="J42" s="20" t="s">
        <v>80</v>
      </c>
      <c r="K42" s="39"/>
      <c r="L42" s="20">
        <f>IF(K42=I42,(IF(K42&lt;&gt;J42,C42,0)),0)</f>
        <v>0</v>
      </c>
      <c r="M42" s="40"/>
    </row>
    <row r="43" spans="2:13">
      <c r="B43" s="19">
        <v>5</v>
      </c>
      <c r="C43" s="21">
        <v>0.25</v>
      </c>
      <c r="D43" s="26" t="s">
        <v>87</v>
      </c>
      <c r="E43" s="20" t="s">
        <v>54</v>
      </c>
      <c r="F43" s="20">
        <v>112</v>
      </c>
      <c r="G43" s="20">
        <v>0.1</v>
      </c>
      <c r="H43" s="20">
        <v>-0.1</v>
      </c>
      <c r="I43" s="20">
        <f t="shared" ref="I43:I61" si="4">SUM(F43+G43)</f>
        <v>112.1</v>
      </c>
      <c r="J43" s="20">
        <f t="shared" ref="J43:J61" si="5">SUM(F43+H43)</f>
        <v>111.9</v>
      </c>
      <c r="K43" s="39"/>
      <c r="L43" s="20">
        <f t="shared" ref="L43:L61" si="6">IF(K43&gt;=(J43-M43),(IF(K43&lt;=(I43+M43),C43,0)),0)</f>
        <v>0</v>
      </c>
      <c r="M43" s="40"/>
    </row>
    <row r="44" spans="2:13">
      <c r="B44" s="19">
        <v>6</v>
      </c>
      <c r="C44" s="21">
        <v>0.25</v>
      </c>
      <c r="D44" s="27" t="s">
        <v>88</v>
      </c>
      <c r="E44" s="20" t="s">
        <v>54</v>
      </c>
      <c r="F44" s="20">
        <v>50</v>
      </c>
      <c r="G44" s="20">
        <v>0.1</v>
      </c>
      <c r="H44" s="20">
        <v>-0.1</v>
      </c>
      <c r="I44" s="20">
        <f>SUM(F44+G44)</f>
        <v>50.1</v>
      </c>
      <c r="J44" s="20">
        <f>SUM(F44+H44)</f>
        <v>49.9</v>
      </c>
      <c r="K44" s="39"/>
      <c r="L44" s="20">
        <f>IF(K44&gt;=(J44-M44),(IF(K44&lt;=(I44+M44),C44,0)),0)</f>
        <v>0</v>
      </c>
      <c r="M44" s="40"/>
    </row>
    <row r="45" spans="2:13">
      <c r="B45" s="19">
        <v>7</v>
      </c>
      <c r="C45" s="21">
        <v>0.25</v>
      </c>
      <c r="D45" s="26" t="s">
        <v>66</v>
      </c>
      <c r="E45" s="20" t="s">
        <v>54</v>
      </c>
      <c r="F45" s="20">
        <v>48</v>
      </c>
      <c r="G45" s="20">
        <v>0.1</v>
      </c>
      <c r="H45" s="20">
        <v>-0.1</v>
      </c>
      <c r="I45" s="20">
        <f>SUM(F45+G45)</f>
        <v>48.1</v>
      </c>
      <c r="J45" s="20">
        <f>SUM(F45+H45)</f>
        <v>47.9</v>
      </c>
      <c r="K45" s="39"/>
      <c r="L45" s="20">
        <f>IF(K45&gt;=(J45-M45),(IF(K45&lt;=(I45+M45),C45,0)),0)</f>
        <v>0</v>
      </c>
      <c r="M45" s="40"/>
    </row>
    <row r="46" spans="2:13">
      <c r="B46" s="19">
        <v>8</v>
      </c>
      <c r="C46" s="21">
        <v>0.25</v>
      </c>
      <c r="D46" s="26" t="s">
        <v>118</v>
      </c>
      <c r="E46" s="20" t="s">
        <v>54</v>
      </c>
      <c r="F46" s="20">
        <v>12</v>
      </c>
      <c r="G46" s="20">
        <v>0.1</v>
      </c>
      <c r="H46" s="20">
        <v>-0.1</v>
      </c>
      <c r="I46" s="20">
        <f>SUM(F46+G46)</f>
        <v>12.1</v>
      </c>
      <c r="J46" s="20">
        <f>SUM(F46+H46)</f>
        <v>11.9</v>
      </c>
      <c r="K46" s="39"/>
      <c r="L46" s="20">
        <f>IF(K46&gt;=(J46-M46),(IF(K46&lt;=(I46+M46),C46,0)),0)</f>
        <v>0</v>
      </c>
      <c r="M46" s="40"/>
    </row>
    <row r="47" spans="2:13">
      <c r="B47" s="19">
        <v>9</v>
      </c>
      <c r="C47" s="21">
        <v>0.25</v>
      </c>
      <c r="D47" s="26" t="s">
        <v>113</v>
      </c>
      <c r="E47" s="20" t="s">
        <v>54</v>
      </c>
      <c r="F47" s="20">
        <v>90</v>
      </c>
      <c r="G47" s="20">
        <v>0.1</v>
      </c>
      <c r="H47" s="20">
        <v>-0.1</v>
      </c>
      <c r="I47" s="20">
        <f>SUM(F47+G47)</f>
        <v>90.1</v>
      </c>
      <c r="J47" s="20">
        <f>SUM(F47+H47)</f>
        <v>89.9</v>
      </c>
      <c r="K47" s="39"/>
      <c r="L47" s="20">
        <f>IF(K47&gt;=(J47-M47),(IF(K47&lt;=(I47+M47),C47,0)),0)</f>
        <v>0</v>
      </c>
      <c r="M47" s="40"/>
    </row>
    <row r="48" spans="2:13">
      <c r="B48" s="19">
        <v>10</v>
      </c>
      <c r="C48" s="21">
        <v>0.25</v>
      </c>
      <c r="D48" s="26" t="s">
        <v>73</v>
      </c>
      <c r="E48" s="20" t="s">
        <v>60</v>
      </c>
      <c r="F48" s="20">
        <v>30</v>
      </c>
      <c r="G48" s="20">
        <v>0.1</v>
      </c>
      <c r="H48" s="20">
        <v>-0.1</v>
      </c>
      <c r="I48" s="20">
        <f>SUM(F48+G48)</f>
        <v>30.1</v>
      </c>
      <c r="J48" s="20">
        <f>SUM(F48+H48)</f>
        <v>29.9</v>
      </c>
      <c r="K48" s="39"/>
      <c r="L48" s="20">
        <f>IF(K48&gt;=(J48-M48),(IF(K48&lt;=(I48+M48),C48,0)),0)</f>
        <v>0</v>
      </c>
      <c r="M48" s="40"/>
    </row>
    <row r="49" spans="2:13">
      <c r="B49" s="19">
        <v>11</v>
      </c>
      <c r="C49" s="21">
        <v>0.25</v>
      </c>
      <c r="D49" s="26" t="s">
        <v>115</v>
      </c>
      <c r="E49" s="20" t="s">
        <v>54</v>
      </c>
      <c r="F49" s="20">
        <v>16</v>
      </c>
      <c r="G49" s="20">
        <v>0.1</v>
      </c>
      <c r="H49" s="20">
        <v>-0.1</v>
      </c>
      <c r="I49" s="20">
        <f>SUM(F49+G49)</f>
        <v>16.1</v>
      </c>
      <c r="J49" s="20">
        <f>SUM(F49+H49)</f>
        <v>15.9</v>
      </c>
      <c r="K49" s="39"/>
      <c r="L49" s="20">
        <f>IF(K49&gt;=(J49-M49),(IF(K49&lt;=(I49+M49),C49,0)),0)</f>
        <v>0</v>
      </c>
      <c r="M49" s="40"/>
    </row>
    <row r="50" spans="2:13">
      <c r="B50" s="19">
        <v>12</v>
      </c>
      <c r="C50" s="21">
        <v>0.25</v>
      </c>
      <c r="D50" s="27" t="s">
        <v>90</v>
      </c>
      <c r="E50" s="20" t="s">
        <v>54</v>
      </c>
      <c r="F50" s="20">
        <v>23</v>
      </c>
      <c r="G50" s="20">
        <v>0.1</v>
      </c>
      <c r="H50" s="20">
        <v>-0.1</v>
      </c>
      <c r="I50" s="20">
        <f>SUM(F50+G50)</f>
        <v>23.1</v>
      </c>
      <c r="J50" s="20">
        <f>SUM(F50+H50)</f>
        <v>22.9</v>
      </c>
      <c r="K50" s="39"/>
      <c r="L50" s="20">
        <f>IF(K50&gt;=(J50-M50),(IF(K50&lt;=(I50+M50),C50,0)),0)</f>
        <v>0</v>
      </c>
      <c r="M50" s="40"/>
    </row>
    <row r="51" spans="2:13">
      <c r="B51" s="19">
        <v>13</v>
      </c>
      <c r="C51" s="21">
        <v>0.25</v>
      </c>
      <c r="D51" s="27" t="s">
        <v>87</v>
      </c>
      <c r="E51" s="20" t="s">
        <v>54</v>
      </c>
      <c r="F51" s="20">
        <v>15</v>
      </c>
      <c r="G51" s="20">
        <v>0.1</v>
      </c>
      <c r="H51" s="20">
        <v>-0.1</v>
      </c>
      <c r="I51" s="20">
        <f>SUM(F51+G51)</f>
        <v>15.1</v>
      </c>
      <c r="J51" s="20">
        <f>SUM(F51+H51)</f>
        <v>14.9</v>
      </c>
      <c r="K51" s="39"/>
      <c r="L51" s="20">
        <f>IF(K51&gt;=(J51-M51),(IF(K51&lt;=(I51+M51),C51,0)),0)</f>
        <v>0</v>
      </c>
      <c r="M51" s="40"/>
    </row>
    <row r="52" spans="2:13">
      <c r="B52" s="19">
        <v>14</v>
      </c>
      <c r="C52" s="21">
        <v>0.25</v>
      </c>
      <c r="D52" s="26" t="s">
        <v>57</v>
      </c>
      <c r="E52" s="20" t="s">
        <v>54</v>
      </c>
      <c r="F52" s="20">
        <v>16</v>
      </c>
      <c r="G52" s="20">
        <v>0.1</v>
      </c>
      <c r="H52" s="20">
        <v>-0.1</v>
      </c>
      <c r="I52" s="20">
        <f>SUM(F52+G52)</f>
        <v>16.1</v>
      </c>
      <c r="J52" s="20">
        <f>SUM(F52+H52)</f>
        <v>15.9</v>
      </c>
      <c r="K52" s="39"/>
      <c r="L52" s="20">
        <f>IF(K52&gt;=(J52-M52),(IF(K52&lt;=(I52+M52),C52,0)),0)</f>
        <v>0</v>
      </c>
      <c r="M52" s="40"/>
    </row>
    <row r="53" spans="2:13">
      <c r="B53" s="19">
        <v>15</v>
      </c>
      <c r="C53" s="21">
        <v>0.25</v>
      </c>
      <c r="D53" s="26" t="s">
        <v>84</v>
      </c>
      <c r="E53" s="20" t="s">
        <v>54</v>
      </c>
      <c r="F53" s="20">
        <v>10</v>
      </c>
      <c r="G53" s="20">
        <v>0.1</v>
      </c>
      <c r="H53" s="20">
        <v>-0.1</v>
      </c>
      <c r="I53" s="20">
        <f>SUM(F53+G53)</f>
        <v>10.1</v>
      </c>
      <c r="J53" s="20">
        <f>SUM(F53+H53)</f>
        <v>9.9</v>
      </c>
      <c r="K53" s="39"/>
      <c r="L53" s="20">
        <f>IF(K53&gt;=(J53-M53),(IF(K53&lt;=(I53+M53),C53,0)),0)</f>
        <v>0</v>
      </c>
      <c r="M53" s="40"/>
    </row>
    <row r="54" spans="2:13">
      <c r="B54" s="19">
        <v>16</v>
      </c>
      <c r="C54" s="21">
        <v>0.25</v>
      </c>
      <c r="D54" s="26" t="s">
        <v>64</v>
      </c>
      <c r="E54" s="20" t="s">
        <v>54</v>
      </c>
      <c r="F54" s="20">
        <v>18</v>
      </c>
      <c r="G54" s="20">
        <v>0.1</v>
      </c>
      <c r="H54" s="20">
        <v>-0.1</v>
      </c>
      <c r="I54" s="20">
        <f>SUM(F54+G54)</f>
        <v>18.1</v>
      </c>
      <c r="J54" s="20">
        <f>SUM(F54+H54)</f>
        <v>17.9</v>
      </c>
      <c r="K54" s="39"/>
      <c r="L54" s="20">
        <f>IF(K54&gt;=(J54-M54),(IF(K54&lt;=(I54+M54),C54,0)),0)</f>
        <v>0</v>
      </c>
      <c r="M54" s="40"/>
    </row>
    <row r="55" spans="2:13">
      <c r="B55" s="19">
        <v>17</v>
      </c>
      <c r="C55" s="21">
        <v>0.25</v>
      </c>
      <c r="D55" s="26" t="s">
        <v>72</v>
      </c>
      <c r="E55" s="20" t="s">
        <v>54</v>
      </c>
      <c r="F55" s="20">
        <v>70</v>
      </c>
      <c r="G55" s="20">
        <v>0.1</v>
      </c>
      <c r="H55" s="20">
        <v>-0.1</v>
      </c>
      <c r="I55" s="20">
        <f>SUM(F55+G55)</f>
        <v>70.1</v>
      </c>
      <c r="J55" s="20">
        <f>SUM(F55+H55)</f>
        <v>69.9</v>
      </c>
      <c r="K55" s="39"/>
      <c r="L55" s="20">
        <f>IF(K55&gt;=(J55-M55),(IF(K55&lt;=(I55+M55),C55,0)),0)</f>
        <v>0</v>
      </c>
      <c r="M55" s="40"/>
    </row>
    <row r="56" spans="2:13">
      <c r="B56" s="19">
        <v>18</v>
      </c>
      <c r="C56" s="21">
        <v>0.25</v>
      </c>
      <c r="D56" s="26" t="s">
        <v>117</v>
      </c>
      <c r="E56" s="20" t="s">
        <v>60</v>
      </c>
      <c r="F56" s="20">
        <v>30</v>
      </c>
      <c r="G56" s="20">
        <v>0.1</v>
      </c>
      <c r="H56" s="20">
        <v>-0.1</v>
      </c>
      <c r="I56" s="20">
        <f>SUM(F56+G56)</f>
        <v>30.1</v>
      </c>
      <c r="J56" s="20">
        <f>SUM(F56+H56)</f>
        <v>29.9</v>
      </c>
      <c r="K56" s="39"/>
      <c r="L56" s="20">
        <f>IF(K56&gt;=(J56-M56),(IF(K56&lt;=(I56+M56),C56,0)),0)</f>
        <v>0</v>
      </c>
      <c r="M56" s="40"/>
    </row>
    <row r="57" spans="2:13">
      <c r="B57" s="19">
        <v>19</v>
      </c>
      <c r="C57" s="21">
        <v>0.25</v>
      </c>
      <c r="D57" s="26" t="s">
        <v>61</v>
      </c>
      <c r="E57" s="20" t="s">
        <v>54</v>
      </c>
      <c r="F57" s="20">
        <v>15</v>
      </c>
      <c r="G57" s="20">
        <v>0.1</v>
      </c>
      <c r="H57" s="20">
        <v>-0.1</v>
      </c>
      <c r="I57" s="20">
        <f>SUM(F57+G57)</f>
        <v>15.1</v>
      </c>
      <c r="J57" s="20">
        <f>SUM(F57+H57)</f>
        <v>14.9</v>
      </c>
      <c r="K57" s="39"/>
      <c r="L57" s="20">
        <f>IF(K57&gt;=(J57-M57),(IF(K57&lt;=(I57+M57),C57,0)),0)</f>
        <v>0</v>
      </c>
      <c r="M57" s="40"/>
    </row>
    <row r="58" spans="2:13">
      <c r="B58" s="19">
        <v>20</v>
      </c>
      <c r="C58" s="21">
        <v>0.25</v>
      </c>
      <c r="D58" s="26" t="s">
        <v>83</v>
      </c>
      <c r="E58" s="20" t="s">
        <v>54</v>
      </c>
      <c r="F58" s="20">
        <v>12</v>
      </c>
      <c r="G58" s="20">
        <v>0.1</v>
      </c>
      <c r="H58" s="20">
        <v>-0.1</v>
      </c>
      <c r="I58" s="20">
        <f>SUM(F58+G58)</f>
        <v>12.1</v>
      </c>
      <c r="J58" s="20">
        <f>SUM(F58+H58)</f>
        <v>11.9</v>
      </c>
      <c r="K58" s="39"/>
      <c r="L58" s="20">
        <f>IF(K58&gt;=(J58-M58),(IF(K58&lt;=(I58+M58),C58,0)),0)</f>
        <v>0</v>
      </c>
      <c r="M58" s="40"/>
    </row>
    <row r="59" spans="2:13">
      <c r="B59" s="19">
        <v>21</v>
      </c>
      <c r="C59" s="21">
        <v>0.25</v>
      </c>
      <c r="D59" s="26" t="s">
        <v>82</v>
      </c>
      <c r="E59" s="20" t="s">
        <v>54</v>
      </c>
      <c r="F59" s="20">
        <v>6</v>
      </c>
      <c r="G59" s="20">
        <v>0.1</v>
      </c>
      <c r="H59" s="20">
        <v>-0.1</v>
      </c>
      <c r="I59" s="20">
        <f>SUM(F59+G59)</f>
        <v>6.1</v>
      </c>
      <c r="J59" s="20">
        <f>SUM(F59+H59)</f>
        <v>5.9</v>
      </c>
      <c r="K59" s="39"/>
      <c r="L59" s="20">
        <f>IF(K59&gt;=(J59-M59),(IF(K59&lt;=(I59+M59),C59,0)),0)</f>
        <v>0</v>
      </c>
      <c r="M59" s="40"/>
    </row>
    <row r="60" spans="2:13">
      <c r="B60" s="19">
        <v>22</v>
      </c>
      <c r="C60" s="21">
        <v>0.25</v>
      </c>
      <c r="D60" s="26" t="s">
        <v>59</v>
      </c>
      <c r="E60" s="20" t="s">
        <v>54</v>
      </c>
      <c r="F60" s="20">
        <v>18</v>
      </c>
      <c r="G60" s="20">
        <v>0.1</v>
      </c>
      <c r="H60" s="20">
        <v>-0.1</v>
      </c>
      <c r="I60" s="20">
        <f>SUM(F60+G60)</f>
        <v>18.1</v>
      </c>
      <c r="J60" s="20">
        <f>SUM(F60+H60)</f>
        <v>17.9</v>
      </c>
      <c r="K60" s="39"/>
      <c r="L60" s="20">
        <f>IF(K60&gt;=(J60-M60),(IF(K60&lt;=(I60+M60),C60,0)),0)</f>
        <v>0</v>
      </c>
      <c r="M60" s="40"/>
    </row>
    <row r="61" spans="2:13">
      <c r="B61" s="28">
        <v>23</v>
      </c>
      <c r="C61" s="21">
        <v>0.25</v>
      </c>
      <c r="D61" s="26" t="s">
        <v>59</v>
      </c>
      <c r="E61" s="20" t="s">
        <v>54</v>
      </c>
      <c r="F61" s="20">
        <v>68</v>
      </c>
      <c r="G61" s="20">
        <v>0.1</v>
      </c>
      <c r="H61" s="20">
        <v>-0.1</v>
      </c>
      <c r="I61" s="44">
        <f>SUM(F61+G61)</f>
        <v>68.1</v>
      </c>
      <c r="J61" s="44">
        <f>SUM(F61+H61)</f>
        <v>67.9</v>
      </c>
      <c r="K61" s="45"/>
      <c r="L61" s="44">
        <f>IF(K61&gt;=(J61-M61),(IF(K61&lt;=(I61+M61),C61,0)),0)</f>
        <v>0</v>
      </c>
      <c r="M61" s="46"/>
    </row>
    <row r="62" spans="2:13">
      <c r="B62" s="22" t="s">
        <v>75</v>
      </c>
      <c r="C62" s="23">
        <f>SUM(C39:C61)</f>
        <v>7</v>
      </c>
      <c r="D62" s="23"/>
      <c r="E62" s="23"/>
      <c r="F62" s="23"/>
      <c r="G62" s="23"/>
      <c r="H62" s="23"/>
      <c r="I62" s="23"/>
      <c r="J62" s="23"/>
      <c r="K62" s="41"/>
      <c r="L62" s="23">
        <f>SUM(L39:L61)</f>
        <v>0</v>
      </c>
      <c r="M62" s="42"/>
    </row>
    <row r="63" spans="2:13">
      <c r="B63" s="24"/>
      <c r="C63" s="25"/>
      <c r="D63" s="25"/>
      <c r="E63" s="25"/>
      <c r="F63" s="25"/>
      <c r="G63" s="25"/>
      <c r="H63" s="25"/>
      <c r="I63" s="25"/>
      <c r="J63" s="25"/>
      <c r="K63" s="43"/>
      <c r="L63" s="25"/>
      <c r="M63" s="25"/>
    </row>
    <row r="64" spans="2:13">
      <c r="B64" s="17" t="s">
        <v>91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38"/>
    </row>
    <row r="65" spans="2:13">
      <c r="B65" s="19">
        <v>1</v>
      </c>
      <c r="C65" s="20">
        <v>0.65</v>
      </c>
      <c r="D65" s="20" t="s">
        <v>123</v>
      </c>
      <c r="E65" s="20" t="s">
        <v>92</v>
      </c>
      <c r="F65" s="20" t="s">
        <v>93</v>
      </c>
      <c r="G65" s="20">
        <v>0.8</v>
      </c>
      <c r="H65" s="47">
        <v>1e-8</v>
      </c>
      <c r="I65" s="20">
        <f>SUM(G65)</f>
        <v>0.8</v>
      </c>
      <c r="J65" s="47">
        <f>SUM(H65)</f>
        <v>1e-8</v>
      </c>
      <c r="K65" s="39"/>
      <c r="L65" s="20">
        <f>IF(K65&gt;=(J65-M65),(IF(K65&lt;=(I65+M65),C65,0)),0)</f>
        <v>0</v>
      </c>
      <c r="M65" s="40"/>
    </row>
    <row r="66" spans="2:13">
      <c r="B66" s="19">
        <v>2</v>
      </c>
      <c r="C66" s="20">
        <v>0.65</v>
      </c>
      <c r="D66" s="20" t="s">
        <v>124</v>
      </c>
      <c r="E66" s="20" t="s">
        <v>92</v>
      </c>
      <c r="F66" s="20" t="s">
        <v>93</v>
      </c>
      <c r="G66" s="20">
        <v>0.8</v>
      </c>
      <c r="H66" s="47">
        <v>1e-8</v>
      </c>
      <c r="I66" s="20">
        <f>SUM(G66)</f>
        <v>0.8</v>
      </c>
      <c r="J66" s="47">
        <f>SUM(H66)</f>
        <v>1e-8</v>
      </c>
      <c r="K66" s="39"/>
      <c r="L66" s="20">
        <f>IF(K66&gt;=(J66-M66),(IF(K66&lt;=(I66+M66),C66,0)),0)</f>
        <v>0</v>
      </c>
      <c r="M66" s="40"/>
    </row>
    <row r="67" spans="2:13">
      <c r="B67" s="19">
        <v>3</v>
      </c>
      <c r="C67" s="20">
        <v>0.65</v>
      </c>
      <c r="D67" s="20" t="s">
        <v>73</v>
      </c>
      <c r="E67" s="20" t="s">
        <v>92</v>
      </c>
      <c r="F67" s="20" t="s">
        <v>93</v>
      </c>
      <c r="G67" s="20">
        <v>0.8</v>
      </c>
      <c r="H67" s="47">
        <v>1e-8</v>
      </c>
      <c r="I67" s="20">
        <f>SUM(G67)</f>
        <v>0.8</v>
      </c>
      <c r="J67" s="47">
        <f>SUM(H67)</f>
        <v>1e-8</v>
      </c>
      <c r="K67" s="39"/>
      <c r="L67" s="20">
        <f>IF(K67&gt;=(J67-M67),(IF(K67&lt;=(I67+M67),C67,0)),0)</f>
        <v>0</v>
      </c>
      <c r="M67" s="40"/>
    </row>
    <row r="68" spans="2:13">
      <c r="B68" s="19">
        <v>4</v>
      </c>
      <c r="C68" s="20">
        <v>0.65</v>
      </c>
      <c r="D68" s="20" t="s">
        <v>117</v>
      </c>
      <c r="E68" s="20" t="s">
        <v>92</v>
      </c>
      <c r="F68" s="20" t="s">
        <v>93</v>
      </c>
      <c r="G68" s="20">
        <v>0.8</v>
      </c>
      <c r="H68" s="47">
        <v>1e-8</v>
      </c>
      <c r="I68" s="20">
        <f>SUM(G68)</f>
        <v>0.8</v>
      </c>
      <c r="J68" s="47">
        <f>SUM(H68)</f>
        <v>1e-8</v>
      </c>
      <c r="K68" s="39"/>
      <c r="L68" s="20">
        <f>IF(K68&gt;=(J68-M68),(IF(K68&lt;=(I68+M68),C68,0)),0)</f>
        <v>0</v>
      </c>
      <c r="M68" s="40"/>
    </row>
    <row r="69" spans="2:13">
      <c r="B69" s="19">
        <v>5</v>
      </c>
      <c r="C69" s="20">
        <v>0.4</v>
      </c>
      <c r="D69" s="20" t="s">
        <v>73</v>
      </c>
      <c r="E69" s="20" t="s">
        <v>92</v>
      </c>
      <c r="F69" s="20" t="s">
        <v>93</v>
      </c>
      <c r="G69" s="20">
        <v>0.8</v>
      </c>
      <c r="H69" s="47">
        <v>1e-8</v>
      </c>
      <c r="I69" s="20">
        <f>SUM(G69)</f>
        <v>0.8</v>
      </c>
      <c r="J69" s="47">
        <f>SUM(H69)</f>
        <v>1e-8</v>
      </c>
      <c r="K69" s="39"/>
      <c r="L69" s="20">
        <f>IF(K69&gt;=(J69-M69),(IF(K69&lt;=(I69+M69),C69,0)),0)</f>
        <v>0</v>
      </c>
      <c r="M69" s="40"/>
    </row>
    <row r="70" spans="2:13">
      <c r="B70" s="22" t="s">
        <v>75</v>
      </c>
      <c r="C70" s="23">
        <f>SUM(C65:C69)</f>
        <v>3</v>
      </c>
      <c r="D70" s="23"/>
      <c r="E70" s="23"/>
      <c r="F70" s="23"/>
      <c r="G70" s="23"/>
      <c r="H70" s="23"/>
      <c r="I70" s="23"/>
      <c r="J70" s="23"/>
      <c r="K70" s="41"/>
      <c r="L70" s="23">
        <f>SUM(L65:L69)</f>
        <v>0</v>
      </c>
      <c r="M70" s="42"/>
    </row>
    <row r="71" spans="2:13">
      <c r="B71" s="24"/>
      <c r="C71" s="25"/>
      <c r="D71" s="25"/>
      <c r="E71" s="25"/>
      <c r="F71" s="25"/>
      <c r="G71" s="25"/>
      <c r="H71" s="25"/>
      <c r="I71" s="25"/>
      <c r="J71" s="25"/>
      <c r="K71" s="43"/>
      <c r="L71" s="25"/>
      <c r="M71" s="25"/>
    </row>
    <row r="72" spans="2:13">
      <c r="B72" s="17" t="s">
        <v>94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38"/>
    </row>
    <row r="73" spans="2:13">
      <c r="B73" s="19"/>
      <c r="C73" s="20"/>
      <c r="D73" s="20"/>
      <c r="E73" s="20"/>
      <c r="F73" s="20"/>
      <c r="G73" s="20">
        <v>1</v>
      </c>
      <c r="H73" s="20">
        <v>2</v>
      </c>
      <c r="I73" s="20">
        <v>3</v>
      </c>
      <c r="J73" s="20">
        <v>4</v>
      </c>
      <c r="K73" s="20">
        <v>5</v>
      </c>
      <c r="L73" s="20"/>
      <c r="M73" s="40"/>
    </row>
    <row r="74" spans="2:23">
      <c r="B74" s="19">
        <v>1</v>
      </c>
      <c r="C74" s="20">
        <v>0.8</v>
      </c>
      <c r="D74" s="48" t="s">
        <v>95</v>
      </c>
      <c r="E74" s="49"/>
      <c r="F74" s="50"/>
      <c r="G74" s="39"/>
      <c r="H74" s="39"/>
      <c r="I74" s="39"/>
      <c r="J74" s="39"/>
      <c r="K74" s="39"/>
      <c r="L74" s="20">
        <f t="shared" ref="L74:L79" si="7">SUM(C74*(W74-V74-U74)/30)</f>
        <v>0</v>
      </c>
      <c r="M74" s="40"/>
      <c r="O74">
        <f>SUM(10-G74)</f>
        <v>10</v>
      </c>
      <c r="P74">
        <f>SUM(10-H74)</f>
        <v>10</v>
      </c>
      <c r="Q74">
        <f t="shared" ref="Q74:S79" si="8">SUM(10-I74)</f>
        <v>10</v>
      </c>
      <c r="R74">
        <f>SUM(10-J74)</f>
        <v>10</v>
      </c>
      <c r="S74">
        <f>SUM(10-K74)</f>
        <v>10</v>
      </c>
      <c r="T74">
        <f t="shared" ref="T74:T79" si="9">MAX(O74:S74)</f>
        <v>10</v>
      </c>
      <c r="U74">
        <f t="shared" ref="U74:U79" si="10">SUM(10-T74)</f>
        <v>0</v>
      </c>
      <c r="V74">
        <f t="shared" ref="V74:V79" si="11">MAX(G74:K74)</f>
        <v>0</v>
      </c>
      <c r="W74">
        <f t="shared" ref="W74:W79" si="12">SUM(G74:K74)</f>
        <v>0</v>
      </c>
    </row>
    <row r="75" spans="2:23">
      <c r="B75" s="19">
        <v>2</v>
      </c>
      <c r="C75" s="20">
        <v>0.5</v>
      </c>
      <c r="D75" s="48" t="s">
        <v>96</v>
      </c>
      <c r="E75" s="49"/>
      <c r="F75" s="50"/>
      <c r="G75" s="39"/>
      <c r="H75" s="39"/>
      <c r="I75" s="39"/>
      <c r="J75" s="39"/>
      <c r="K75" s="39"/>
      <c r="L75" s="20">
        <f>SUM(C75*(W75-V75-U75)/30)</f>
        <v>0</v>
      </c>
      <c r="M75" s="40"/>
      <c r="O75">
        <f t="shared" ref="O75:P79" si="13">SUM(10-G75)</f>
        <v>10</v>
      </c>
      <c r="P75">
        <f>SUM(10-H75)</f>
        <v>10</v>
      </c>
      <c r="Q75">
        <f>SUM(10-I75)</f>
        <v>10</v>
      </c>
      <c r="R75">
        <f>SUM(10-J75)</f>
        <v>10</v>
      </c>
      <c r="S75">
        <f>SUM(10-K75)</f>
        <v>10</v>
      </c>
      <c r="T75">
        <f>MAX(O75:S75)</f>
        <v>10</v>
      </c>
      <c r="U75">
        <f>SUM(10-T75)</f>
        <v>0</v>
      </c>
      <c r="V75">
        <f>MAX(G75:K75)</f>
        <v>0</v>
      </c>
      <c r="W75">
        <f>SUM(G75:K75)</f>
        <v>0</v>
      </c>
    </row>
    <row r="76" spans="2:23">
      <c r="B76" s="19">
        <v>3</v>
      </c>
      <c r="C76" s="20">
        <v>0.6</v>
      </c>
      <c r="D76" s="48" t="s">
        <v>97</v>
      </c>
      <c r="E76" s="49"/>
      <c r="F76" s="50"/>
      <c r="G76" s="39"/>
      <c r="H76" s="39"/>
      <c r="I76" s="39"/>
      <c r="J76" s="39"/>
      <c r="K76" s="39"/>
      <c r="L76" s="20">
        <f>SUM(C76*(W76-V76-U76)/30)</f>
        <v>0</v>
      </c>
      <c r="M76" s="40"/>
      <c r="O76">
        <f>SUM(10-G76)</f>
        <v>10</v>
      </c>
      <c r="P76">
        <f>SUM(10-H76)</f>
        <v>10</v>
      </c>
      <c r="Q76">
        <f>SUM(10-I76)</f>
        <v>10</v>
      </c>
      <c r="R76">
        <f>SUM(10-J76)</f>
        <v>10</v>
      </c>
      <c r="S76">
        <f>SUM(10-K76)</f>
        <v>10</v>
      </c>
      <c r="T76">
        <f>MAX(O76:S76)</f>
        <v>10</v>
      </c>
      <c r="U76">
        <f>SUM(10-T76)</f>
        <v>0</v>
      </c>
      <c r="V76">
        <f>MAX(G76:K76)</f>
        <v>0</v>
      </c>
      <c r="W76">
        <f>SUM(G76:K76)</f>
        <v>0</v>
      </c>
    </row>
    <row r="77" spans="2:23">
      <c r="B77" s="19">
        <v>4</v>
      </c>
      <c r="C77" s="20">
        <v>0.7</v>
      </c>
      <c r="D77" s="48" t="s">
        <v>98</v>
      </c>
      <c r="E77" s="49"/>
      <c r="F77" s="50"/>
      <c r="G77" s="39"/>
      <c r="H77" s="39"/>
      <c r="I77" s="39"/>
      <c r="J77" s="39"/>
      <c r="K77" s="39"/>
      <c r="L77" s="20">
        <f>SUM(C77*(W77-V77-U77)/30)</f>
        <v>0</v>
      </c>
      <c r="M77" s="40"/>
      <c r="O77">
        <f>SUM(10-G77)</f>
        <v>10</v>
      </c>
      <c r="P77">
        <f>SUM(10-H77)</f>
        <v>10</v>
      </c>
      <c r="Q77">
        <f>SUM(10-I77)</f>
        <v>10</v>
      </c>
      <c r="R77">
        <f>SUM(10-J77)</f>
        <v>10</v>
      </c>
      <c r="S77">
        <f>SUM(10-K77)</f>
        <v>10</v>
      </c>
      <c r="T77">
        <f>MAX(O77:S77)</f>
        <v>10</v>
      </c>
      <c r="U77">
        <f>SUM(10-T77)</f>
        <v>0</v>
      </c>
      <c r="V77">
        <f>MAX(G77:K77)</f>
        <v>0</v>
      </c>
      <c r="W77">
        <f>SUM(G77:K77)</f>
        <v>0</v>
      </c>
    </row>
    <row r="78" spans="2:23">
      <c r="B78" s="51">
        <v>5</v>
      </c>
      <c r="C78" s="20">
        <v>0.7</v>
      </c>
      <c r="D78" s="48" t="s">
        <v>99</v>
      </c>
      <c r="E78" s="52"/>
      <c r="F78" s="53"/>
      <c r="G78" s="39"/>
      <c r="H78" s="39"/>
      <c r="I78" s="39"/>
      <c r="J78" s="39"/>
      <c r="K78" s="39"/>
      <c r="L78" s="20">
        <f>SUM(C78*(W78-V78-U78)/30)</f>
        <v>0</v>
      </c>
      <c r="M78" s="40"/>
      <c r="O78">
        <f>SUM(10-G78)</f>
        <v>10</v>
      </c>
      <c r="P78">
        <f>SUM(10-H78)</f>
        <v>10</v>
      </c>
      <c r="Q78">
        <f>SUM(10-I78)</f>
        <v>10</v>
      </c>
      <c r="R78">
        <f>SUM(10-J78)</f>
        <v>10</v>
      </c>
      <c r="S78">
        <f>SUM(10-K78)</f>
        <v>10</v>
      </c>
      <c r="T78">
        <f>MAX(O78:S78)</f>
        <v>10</v>
      </c>
      <c r="U78">
        <f>SUM(10-T78)</f>
        <v>0</v>
      </c>
      <c r="V78">
        <f>MAX(G78:K78)</f>
        <v>0</v>
      </c>
      <c r="W78">
        <f>SUM(G78:K78)</f>
        <v>0</v>
      </c>
    </row>
    <row r="79" spans="2:23">
      <c r="B79" s="51">
        <v>6</v>
      </c>
      <c r="C79" s="20"/>
      <c r="D79" s="21"/>
      <c r="E79" s="49"/>
      <c r="F79" s="50"/>
      <c r="G79" s="45"/>
      <c r="H79" s="45"/>
      <c r="I79" s="45"/>
      <c r="J79" s="45"/>
      <c r="K79" s="45"/>
      <c r="L79" s="20">
        <f>SUM(C79*(W79-V79-U79)/30)</f>
        <v>0</v>
      </c>
      <c r="M79" s="40"/>
      <c r="O79">
        <f>SUM(10-G79)</f>
        <v>10</v>
      </c>
      <c r="P79">
        <f>SUM(10-H79)</f>
        <v>10</v>
      </c>
      <c r="Q79">
        <f>SUM(10-I79)</f>
        <v>10</v>
      </c>
      <c r="R79">
        <f>SUM(10-J79)</f>
        <v>10</v>
      </c>
      <c r="S79">
        <f>SUM(10-K79)</f>
        <v>10</v>
      </c>
      <c r="T79">
        <f>MAX(O79:S79)</f>
        <v>10</v>
      </c>
      <c r="U79">
        <f>SUM(10-T79)</f>
        <v>0</v>
      </c>
      <c r="V79">
        <f>MAX(G79:K79)</f>
        <v>0</v>
      </c>
      <c r="W79">
        <f>SUM(G79:K79)</f>
        <v>0</v>
      </c>
    </row>
    <row r="80" spans="2:13">
      <c r="B80" s="51"/>
      <c r="C80" s="20"/>
      <c r="D80" s="54"/>
      <c r="E80" s="20"/>
      <c r="F80" s="20"/>
      <c r="G80" s="55" t="s">
        <v>100</v>
      </c>
      <c r="H80" s="55" t="s">
        <v>100</v>
      </c>
      <c r="I80" s="55" t="s">
        <v>100</v>
      </c>
      <c r="J80" s="55" t="s">
        <v>100</v>
      </c>
      <c r="K80" s="55" t="s">
        <v>100</v>
      </c>
      <c r="L80" s="20"/>
      <c r="M80" s="40"/>
    </row>
    <row r="81" spans="2:13">
      <c r="B81" s="51"/>
      <c r="C81" s="20"/>
      <c r="D81" s="20"/>
      <c r="E81" s="20"/>
      <c r="F81" s="20"/>
      <c r="G81" s="56"/>
      <c r="H81" s="56"/>
      <c r="I81" s="56"/>
      <c r="J81" s="56"/>
      <c r="K81" s="56"/>
      <c r="L81" s="20"/>
      <c r="M81" s="79"/>
    </row>
    <row r="82" spans="2:13">
      <c r="B82" s="51"/>
      <c r="C82" s="20"/>
      <c r="D82" s="20"/>
      <c r="E82" s="20"/>
      <c r="F82" s="20"/>
      <c r="G82" s="56"/>
      <c r="H82" s="56"/>
      <c r="I82" s="56"/>
      <c r="J82" s="56"/>
      <c r="K82" s="56"/>
      <c r="L82" s="20"/>
      <c r="M82" s="79"/>
    </row>
    <row r="83" spans="2:13">
      <c r="B83" s="51"/>
      <c r="C83" s="20"/>
      <c r="D83" s="20"/>
      <c r="E83" s="20"/>
      <c r="F83" s="20"/>
      <c r="G83" s="56"/>
      <c r="H83" s="56"/>
      <c r="I83" s="56"/>
      <c r="J83" s="56"/>
      <c r="K83" s="56"/>
      <c r="L83" s="20"/>
      <c r="M83" s="79"/>
    </row>
    <row r="84" spans="2:13">
      <c r="B84" s="51"/>
      <c r="C84" s="20"/>
      <c r="D84" s="20"/>
      <c r="E84" s="20"/>
      <c r="F84" s="20"/>
      <c r="G84" s="56"/>
      <c r="H84" s="56"/>
      <c r="I84" s="56"/>
      <c r="J84" s="56"/>
      <c r="K84" s="56"/>
      <c r="L84" s="20"/>
      <c r="M84" s="79"/>
    </row>
    <row r="85" spans="2:13">
      <c r="B85" s="57"/>
      <c r="C85" s="44"/>
      <c r="D85" s="44"/>
      <c r="E85" s="44"/>
      <c r="F85" s="44"/>
      <c r="G85" s="58"/>
      <c r="H85" s="58"/>
      <c r="I85" s="58"/>
      <c r="J85" s="58"/>
      <c r="K85" s="58"/>
      <c r="L85" s="44"/>
      <c r="M85" s="80"/>
    </row>
    <row r="86" spans="2:13">
      <c r="B86" s="59" t="s">
        <v>75</v>
      </c>
      <c r="C86" s="60">
        <f>SUM(C74:C85)</f>
        <v>3.3</v>
      </c>
      <c r="D86" s="23"/>
      <c r="E86" s="23"/>
      <c r="F86" s="23"/>
      <c r="G86" s="23"/>
      <c r="H86" s="23"/>
      <c r="I86" s="23"/>
      <c r="J86" s="23"/>
      <c r="K86" s="23"/>
      <c r="L86" s="60">
        <f>SUM(L74:L85)</f>
        <v>0</v>
      </c>
      <c r="M86" s="81"/>
    </row>
    <row r="87" spans="2:13"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1"/>
    </row>
    <row r="88" spans="2:13">
      <c r="B88" s="17" t="s">
        <v>101</v>
      </c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38"/>
    </row>
    <row r="89" spans="2:13">
      <c r="B89" s="28">
        <v>1</v>
      </c>
      <c r="C89" s="44">
        <v>2</v>
      </c>
      <c r="D89" s="61" t="s">
        <v>102</v>
      </c>
      <c r="E89" s="62"/>
      <c r="F89" s="63"/>
      <c r="G89" s="44"/>
      <c r="H89" s="44"/>
      <c r="I89" s="44"/>
      <c r="J89" s="44"/>
      <c r="K89" s="45"/>
      <c r="L89" s="44">
        <f>IF(K89=0,C89,(K89-1)*(-C89))</f>
        <v>2</v>
      </c>
      <c r="M89" s="46"/>
    </row>
    <row r="90" s="1" customFormat="1" spans="2:13">
      <c r="B90" s="64" t="s">
        <v>75</v>
      </c>
      <c r="C90" s="60">
        <f>SUM(C89)</f>
        <v>2</v>
      </c>
      <c r="D90" s="65"/>
      <c r="E90" s="65"/>
      <c r="F90" s="65"/>
      <c r="G90" s="66"/>
      <c r="H90" s="66"/>
      <c r="I90" s="66"/>
      <c r="J90" s="66"/>
      <c r="K90" s="66"/>
      <c r="L90" s="60">
        <f>SUM(L89)</f>
        <v>2</v>
      </c>
      <c r="M90" s="81"/>
    </row>
    <row r="91" s="1" customFormat="1" spans="2:12">
      <c r="B91" s="25"/>
      <c r="C91" s="25"/>
      <c r="G91" s="67"/>
      <c r="H91" s="67"/>
      <c r="I91" s="67"/>
      <c r="J91" s="67"/>
      <c r="K91" s="67"/>
      <c r="L91" s="25"/>
    </row>
    <row r="92" spans="2:13">
      <c r="B92" s="64"/>
      <c r="C92" s="60"/>
      <c r="D92" s="68"/>
      <c r="E92" s="23"/>
      <c r="F92" s="23"/>
      <c r="G92" s="23"/>
      <c r="H92" s="23"/>
      <c r="I92" s="82"/>
      <c r="J92" s="68" t="s">
        <v>103</v>
      </c>
      <c r="K92" s="82"/>
      <c r="L92" s="68" t="s">
        <v>104</v>
      </c>
      <c r="M92" s="42"/>
    </row>
    <row r="93" spans="2:13">
      <c r="B93" s="69"/>
      <c r="C93" s="70"/>
      <c r="D93" s="71" t="s">
        <v>105</v>
      </c>
      <c r="E93" s="72"/>
      <c r="F93" s="72"/>
      <c r="G93" s="72"/>
      <c r="H93" s="72"/>
      <c r="I93" s="83"/>
      <c r="J93" s="84"/>
      <c r="K93" s="85"/>
      <c r="L93" s="84"/>
      <c r="M93" s="86"/>
    </row>
    <row r="94" spans="2:13">
      <c r="B94" s="19"/>
      <c r="C94" s="20"/>
      <c r="D94" s="73" t="s">
        <v>106</v>
      </c>
      <c r="E94" s="74"/>
      <c r="F94" s="74"/>
      <c r="G94" s="74"/>
      <c r="H94" s="74"/>
      <c r="I94" s="87"/>
      <c r="J94" s="88"/>
      <c r="K94" s="89"/>
      <c r="L94" s="88"/>
      <c r="M94" s="90"/>
    </row>
    <row r="95" spans="2:13">
      <c r="B95" s="19"/>
      <c r="C95" s="20"/>
      <c r="D95" s="73" t="s">
        <v>107</v>
      </c>
      <c r="E95" s="74"/>
      <c r="F95" s="74"/>
      <c r="G95" s="74"/>
      <c r="H95" s="74"/>
      <c r="I95" s="87"/>
      <c r="J95" s="88"/>
      <c r="K95" s="89"/>
      <c r="L95" s="88"/>
      <c r="M95" s="90"/>
    </row>
    <row r="96" spans="2:13">
      <c r="B96" s="75"/>
      <c r="C96" s="76"/>
      <c r="D96" s="77" t="s">
        <v>108</v>
      </c>
      <c r="E96" s="78"/>
      <c r="F96" s="78"/>
      <c r="G96" s="78"/>
      <c r="H96" s="78"/>
      <c r="I96" s="91"/>
      <c r="J96" s="92"/>
      <c r="K96" s="93"/>
      <c r="L96" s="92"/>
      <c r="M96" s="94"/>
    </row>
  </sheetData>
  <protectedRanges>
    <protectedRange sqref="K89" name="区域5" securityDescriptor=""/>
    <protectedRange sqref="G74:K85" name="区域4" securityDescriptor=""/>
    <protectedRange sqref="K65:K69" name="区域3" securityDescriptor=""/>
    <protectedRange sqref="K39:K61" name="区域2" securityDescriptor=""/>
    <protectedRange sqref="K8:K35" name="区域1" securityDescriptor=""/>
  </protectedRanges>
  <mergeCells count="39">
    <mergeCell ref="B3:D3"/>
    <mergeCell ref="E3:F3"/>
    <mergeCell ref="G3:H3"/>
    <mergeCell ref="I3:J3"/>
    <mergeCell ref="L3:M3"/>
    <mergeCell ref="B4:D4"/>
    <mergeCell ref="E4:F4"/>
    <mergeCell ref="G4:H4"/>
    <mergeCell ref="I4:J4"/>
    <mergeCell ref="L4:M4"/>
    <mergeCell ref="D74:F74"/>
    <mergeCell ref="D75:F75"/>
    <mergeCell ref="D76:F76"/>
    <mergeCell ref="D77:F77"/>
    <mergeCell ref="D78:F78"/>
    <mergeCell ref="D79:F79"/>
    <mergeCell ref="D89:F89"/>
    <mergeCell ref="D92:I92"/>
    <mergeCell ref="J92:K92"/>
    <mergeCell ref="L92:M92"/>
    <mergeCell ref="D93:I93"/>
    <mergeCell ref="J93:K93"/>
    <mergeCell ref="L93:M93"/>
    <mergeCell ref="D94:I94"/>
    <mergeCell ref="J94:K94"/>
    <mergeCell ref="L94:M94"/>
    <mergeCell ref="D95:I95"/>
    <mergeCell ref="J95:K95"/>
    <mergeCell ref="L95:M95"/>
    <mergeCell ref="D96:I96"/>
    <mergeCell ref="J96:K96"/>
    <mergeCell ref="L96:M96"/>
    <mergeCell ref="G80:G85"/>
    <mergeCell ref="H80:H85"/>
    <mergeCell ref="I80:I85"/>
    <mergeCell ref="J80:J85"/>
    <mergeCell ref="K80:K85"/>
    <mergeCell ref="B1:M2"/>
    <mergeCell ref="D80:F85"/>
  </mergeCells>
  <printOptions horizontalCentered="1"/>
  <pageMargins left="0.708333333333333" right="0.708333333333333" top="0.747916666666667" bottom="0.747916666666667" header="0.314583333333333" footer="0.314583333333333"/>
  <pageSetup paperSize="9" scale="9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成绩单</vt:lpstr>
      <vt:lpstr>MOD1-评分表</vt:lpstr>
      <vt:lpstr>MOD2-评分表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LHX</dc:creator>
  <cp:lastModifiedBy>user</cp:lastModifiedBy>
  <dcterms:created xsi:type="dcterms:W3CDTF">2014-05-25T13:45:26Z</dcterms:created>
  <dcterms:modified xsi:type="dcterms:W3CDTF">2014-05-25T14:17:20Z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2052-9.1.0.4555</vt:lpwstr>
  </property>
</Properties>
</file>